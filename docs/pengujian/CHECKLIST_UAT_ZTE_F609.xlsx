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a Dulu" sheetId="1" state="visible" r:id="rId1"/>
    <sheet name="Ringkasan" sheetId="2" state="visible" r:id="rId2"/>
    <sheet name="Info Sesi" sheetId="3" state="visible" r:id="rId3"/>
    <sheet name="Test Case" sheetId="4" state="visible" r:id="rId4"/>
    <sheet name="Parameter TR-069" sheetId="5" state="visible" r:id="rId5"/>
    <sheet name="Temuan" sheetId="6" state="visible" r:id="rId6"/>
    <sheet name="Batasan Diketahui" sheetId="7" state="visible" r:id="rId7"/>
    <sheet name="Troubleshooting" sheetId="8" state="visible" r:id="rId8"/>
  </sheets>
  <definedNames>
    <definedName name="_xlnm._FilterDatabase" localSheetId="3" hidden="1">'Test Case'!$A$4:$P$59</definedName>
    <definedName name="_xlnm.Print_Titles" localSheetId="3">'Test Case'!$4:$4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95959"/>
      <sz val="10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375623"/>
      <sz val="10"/>
    </font>
    <font>
      <name val="Arial"/>
      <b val="1"/>
      <color rgb="00C00000"/>
      <sz val="10"/>
    </font>
    <font>
      <name val="Arial"/>
      <b val="1"/>
      <color rgb="00C55A11"/>
      <sz val="10"/>
    </font>
    <font>
      <name val="Arial"/>
      <b val="1"/>
      <color rgb="00595959"/>
      <sz val="10"/>
    </font>
    <font>
      <name val="Arial"/>
      <color rgb="000000FF"/>
      <sz val="10"/>
    </font>
    <font>
      <name val="Arial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E4DFEC"/>
      </patternFill>
    </fill>
    <fill>
      <patternFill patternType="solid">
        <fgColor rgb="00EDEDED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pivotButton="0" quotePrefix="0" xfId="0"/>
    <xf numFmtId="0" fontId="4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9" fontId="4" fillId="0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9" fontId="3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11" fillId="0" borderId="0" pivotButton="0" quotePrefix="0" xfId="0"/>
    <xf numFmtId="0" fontId="3" fillId="3" borderId="1" pivotButton="0" quotePrefix="0" xfId="0"/>
    <xf numFmtId="0" fontId="0" fillId="3" borderId="1" pivotButton="0" quotePrefix="0" xfId="0"/>
    <xf numFmtId="0" fontId="10" fillId="4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  <xf numFmtId="0" fontId="4" fillId="10" borderId="1" applyAlignment="1" pivotButton="0" quotePrefix="0" xfId="0">
      <alignment vertical="top" wrapText="1"/>
    </xf>
    <xf numFmtId="0" fontId="4" fillId="11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</cellXfs>
  <cellStyles count="1">
    <cellStyle name="Normal" xfId="0" builtinId="0" hidden="0"/>
  </cellStyles>
  <dxfs count="6">
    <dxf>
      <font>
        <name val="Arial"/>
        <b val="1"/>
        <color rgb="009C0006"/>
        <sz val="10"/>
      </font>
      <fill>
        <patternFill patternType="solid">
          <bgColor rgb="00FFC7CE"/>
        </patternFill>
      </fill>
    </dxf>
    <dxf>
      <font>
        <name val="Arial"/>
        <b val="1"/>
        <color rgb="00006100"/>
        <sz val="10"/>
      </font>
      <fill>
        <patternFill patternType="solid">
          <bgColor rgb="00C6EFCE"/>
        </patternFill>
      </fill>
    </dxf>
    <dxf>
      <font>
        <name val="Arial"/>
        <b val="1"/>
        <color rgb="007F6000"/>
        <sz val="10"/>
      </font>
      <fill>
        <patternFill patternType="solid">
          <bgColor rgb="00FFD966"/>
        </patternFill>
      </fill>
    </dxf>
    <dxf>
      <fill>
        <patternFill patternType="solid">
          <bgColor rgb="00D9D9D9"/>
        </patternFill>
      </fill>
    </dxf>
    <dxf>
      <fill>
        <patternFill patternType="solid">
          <bgColor rgb="00FFC7CE"/>
        </patternFill>
      </fill>
    </dxf>
    <dxf>
      <fill>
        <patternFill patternType="solid"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22" customWidth="1" min="3" max="3"/>
    <col width="90" customWidth="1" min="4" max="4"/>
  </cols>
  <sheetData>
    <row r="1">
      <c r="B1" s="1" t="inlineStr">
        <is>
          <t>Checklist UAT ACS — Pengujian Langsung ke CPE (ONT)</t>
        </is>
      </c>
    </row>
    <row r="2">
      <c r="B2" s="2" t="inlineStr">
        <is>
          <t>Disusun 21 Okt 2026 untuk sesi uji pukul 10.00 WIB · ACS multi-vendor TR-069/CWMP · perangkat uji: ZTE F609 (Telkom), web admin 10.0.133.35</t>
        </is>
      </c>
    </row>
    <row r="4">
      <c r="B4" s="3" t="inlineStr">
        <is>
          <t>1. Cara memakai workbook ini</t>
        </is>
      </c>
    </row>
    <row r="5" ht="30" customHeight="1">
      <c r="B5" s="4" t="inlineStr">
        <is>
          <t>Urutan</t>
        </is>
      </c>
      <c r="C5" s="5" t="inlineStr">
        <is>
          <t>Kerjakan sheet 'Test Case' dari atas ke bawah (Fase A → H). Jangan lompat: bila satu test case P0 gagal, hentikan fase berikutnya dan catat di sheet 'Temuan'.</t>
        </is>
      </c>
    </row>
    <row r="6" ht="30" customHeight="1">
      <c r="B6" s="4" t="inlineStr">
        <is>
          <t>Kolom Status</t>
        </is>
      </c>
      <c r="C6" s="5" t="inlineStr">
        <is>
          <t>Pilih dari dropdown: Belum · Lulus · Gagal · Blok (tak bisa dijalankan karena prasyarat gagal) · Skip (sengaja dilewati) · N/A. Warna berubah otomatis; sheet 'Ringkasan' menghitung sendiri.</t>
        </is>
      </c>
    </row>
    <row r="7" ht="30" customHeight="1">
      <c r="B7" s="4" t="inlineStr">
        <is>
          <t>Kolom Peran</t>
        </is>
      </c>
      <c r="C7" s="5" t="inlineStr">
        <is>
          <t>SE = Software Engineer (verifikasi Console/API/log/DB). NE = Network Engineer (konfigurasi ONT, jaringan, firewall, capture). SE+NE = dikerjakan berdua.</t>
        </is>
      </c>
    </row>
    <row r="8" ht="17" customHeight="1">
      <c r="B8" s="4" t="inlineStr">
        <is>
          <t>Prioritas</t>
        </is>
      </c>
      <c r="C8" s="5" t="inlineStr">
        <is>
          <t>P0 = wajib lulus, penentu lanjut/berhenti. P1 = penting. P2 = tambahan bila waktu cukup.</t>
        </is>
      </c>
    </row>
    <row r="9" ht="30" customHeight="1">
      <c r="B9" s="4" t="inlineStr">
        <is>
          <t>Dampak ke ONT</t>
        </is>
      </c>
      <c r="C9" s="5" t="inlineStr">
        <is>
          <t>'Tidak ada' = hanya membaca. 'Ringan' = mengubah nilai kecil yang bisa dikembalikan. 'Putus layanan' = ONT/Internet terputus sementara. Tes ber-dampak HANYA dijalankan bila pemilik ONT setuju.</t>
        </is>
      </c>
    </row>
    <row r="10" ht="17" customHeight="1">
      <c r="B10" s="4" t="inlineStr">
        <is>
          <t>Bukti</t>
        </is>
      </c>
      <c r="C10" s="5" t="inlineStr">
        <is>
          <t>Isi kolom 'Bukti' dengan nama file screenshot/log (mis. INF-03.png). Simpan semua bukti di satu folder sesi.</t>
        </is>
      </c>
    </row>
    <row r="11" ht="30" customHeight="1">
      <c r="B11" s="4" t="inlineStr">
        <is>
          <t>Bila ada yang aneh</t>
        </is>
      </c>
      <c r="C11" s="5" t="inlineStr">
        <is>
          <t>Cek dulu sheet 'Batasan Diketahui' — bisa jadi itu perilaku yang sudah diketahui, bukan bug baru. Bila bukan, catat di 'Temuan' (tersedia 1 baris CONTOH).</t>
        </is>
      </c>
    </row>
    <row r="12" ht="17" customHeight="1">
      <c r="B12" s="4" t="inlineStr">
        <is>
          <t>Sel berwarna kuning / teks biru</t>
        </is>
      </c>
      <c r="C12" s="5" t="inlineStr">
        <is>
          <t>Sel input yang diisi manual. Sel lain jangan diubah.</t>
        </is>
      </c>
    </row>
    <row r="14">
      <c r="B14" s="3" t="inlineStr">
        <is>
          <t>2. Kesiapan sistem — diverifikasi hari ini (21 Okt 2026, ±09.00–09.25 WIB)</t>
        </is>
      </c>
    </row>
    <row r="15">
      <c r="B15" s="6" t="inlineStr">
        <is>
          <t>Pemeriksaan</t>
        </is>
      </c>
      <c r="C15" s="6" t="inlineStr">
        <is>
          <t>Hasil</t>
        </is>
      </c>
      <c r="D15" s="6" t="inlineStr">
        <is>
          <t>Keterangan</t>
        </is>
      </c>
    </row>
    <row r="16" ht="17" customHeight="1">
      <c r="B16" s="7" t="inlineStr">
        <is>
          <t>Docker Desktop &amp; stack</t>
        </is>
      </c>
      <c r="C16" s="8" t="inlineStr">
        <is>
          <t>SIAP</t>
        </is>
      </c>
      <c r="D16" s="7" t="inlineStr">
        <is>
          <t>Docker Desktop awalnya MATI; sudah dinyalakan. mariadb, redis, minio, acsd berjalan dan sehat.</t>
        </is>
      </c>
    </row>
    <row r="17" ht="30" customHeight="1">
      <c r="B17" s="7" t="inlineStr">
        <is>
          <t>Image acsd &amp; migrate</t>
        </is>
      </c>
      <c r="C17" s="8" t="inlineStr">
        <is>
          <t>SIAP</t>
        </is>
      </c>
      <c r="D17" s="7" t="inlineStr">
        <is>
          <t>Diperbarui: image lama (dibangun sebelum commit HEAD da8639d) dibangun ulang dari kode terbaru, lalu acsd di-recreate.</t>
        </is>
      </c>
    </row>
    <row r="18" ht="17" customHeight="1">
      <c r="B18" s="7" t="inlineStr">
        <is>
          <t>Migrasi database</t>
        </is>
      </c>
      <c r="C18" s="8" t="inlineStr">
        <is>
          <t>SIAP</t>
        </is>
      </c>
      <c r="D18" s="7" t="inlineStr">
        <is>
          <t>Versi skema 34 (0034), tidak dirty = sama dengan migrasi terbaru di repo.</t>
        </is>
      </c>
    </row>
    <row r="19" ht="17" customHeight="1">
      <c r="B19" s="7" t="inlineStr">
        <is>
          <t>go build / go vet</t>
        </is>
      </c>
      <c r="C19" s="8" t="inlineStr">
        <is>
          <t>LULUS</t>
        </is>
      </c>
      <c r="D19" s="7" t="inlineStr">
        <is>
          <t>Tanpa error.</t>
        </is>
      </c>
    </row>
    <row r="20" ht="30" customHeight="1">
      <c r="B20" s="7" t="inlineStr">
        <is>
          <t>go test -race seluruh paket</t>
        </is>
      </c>
      <c r="C20" s="8" t="inlineStr">
        <is>
          <t>LULUS</t>
        </is>
      </c>
      <c r="D20" s="7" t="inlineStr">
        <is>
          <t>36 paket ok, termasuk tes integrasi MariaDB &amp; Redis nyata (dijalankan di DB sementara agar DB UAT tetap bersih).</t>
        </is>
      </c>
    </row>
    <row r="21" ht="30" customHeight="1">
      <c r="B21" s="7" t="inlineStr">
        <is>
          <t>Suite e2e (simulator CPE)</t>
        </is>
      </c>
      <c r="C21" s="8" t="inlineStr">
        <is>
          <t>26 LULUS · 1 SKIP</t>
        </is>
      </c>
      <c r="D21" s="7" t="inlineStr">
        <is>
          <t>S1–S27: onboarding 5 vendor, provisioning, reboot, Fault 9005, Connection Request Digest + UDP, firmware, preset, MFA, profil HG6145F. 1 SKIP = SMTP tidak diset di stack e2e (wajar).</t>
        </is>
      </c>
    </row>
    <row r="22" ht="30" customHeight="1">
      <c r="B22" s="7" t="inlineStr">
        <is>
          <t>Frontend: tsc / vitest</t>
        </is>
      </c>
      <c r="C22" s="8" t="inlineStr">
        <is>
          <t>LULUS</t>
        </is>
      </c>
      <c r="D22" s="7" t="inlineStr">
        <is>
          <t>TypeScript bersih; 83 tes vitest lulus; oxlint hanya 5 peringatan gaya (fast-refresh), bukan error.</t>
        </is>
      </c>
    </row>
    <row r="23" ht="30" customHeight="1">
      <c r="B23" s="7" t="inlineStr">
        <is>
          <t>Endpoint hidup</t>
        </is>
      </c>
      <c r="C23" s="8" t="inlineStr">
        <is>
          <t>SIAP</t>
        </is>
      </c>
      <c r="D23" s="7" t="inlineStr">
        <is>
          <t>GET /readyz = 200 (database ok, redis ok); POST kosong ke /cwmp = 204; REST tanpa token = 401; CORS Console OK.</t>
        </is>
      </c>
    </row>
    <row r="24" ht="30" customHeight="1">
      <c r="B24" s="7" t="inlineStr">
        <is>
          <t>Console web (:5173)</t>
        </is>
      </c>
      <c r="C24" s="8" t="inlineStr">
        <is>
          <t>SIAP</t>
        </is>
      </c>
      <c r="D24" s="7" t="inlineStr">
        <is>
          <t>Vite dev server dinyalakan dari sesi ini (HTTP 200). Bila laptop restart/terminal ditutup: jalankan 'npm run dev' di folder frontend.</t>
        </is>
      </c>
    </row>
    <row r="26">
      <c r="B26" s="3" t="inlineStr">
        <is>
          <t>3. Risiko yang MASIH TERBUKA (tidak bisa dibuktikan tanpa perangkat fisik) — baca sebelum mulai</t>
        </is>
      </c>
    </row>
    <row r="27">
      <c r="B27" s="6" t="inlineStr">
        <is>
          <t>Risiko</t>
        </is>
      </c>
      <c r="C27" s="6" t="inlineStr">
        <is>
          <t>Tingkat</t>
        </is>
      </c>
      <c r="D27" s="6" t="inlineStr">
        <is>
          <t>Penjelasan &amp; tindakan</t>
        </is>
      </c>
    </row>
    <row r="28" ht="43" customHeight="1">
      <c r="B28" s="7" t="inlineStr">
        <is>
          <t>ONT tidak pernah diuji ke ACS ini</t>
        </is>
      </c>
      <c r="C28" s="9" t="inlineStr">
        <is>
          <t>TINGGI</t>
        </is>
      </c>
      <c r="D28" s="7" t="inlineStr">
        <is>
          <t>Sampai hari ini ACS belum pernah menerima Inform dari CPE fisik; semua bukti memakai simulator (profil ZTE ada, tapi bukan firmware asli ZTE F609 Telkom). Harapkan kejutan, terutama di pohon parameter, namespace CWMP, dan perilaku Connection Request.</t>
        </is>
      </c>
    </row>
    <row r="29" ht="69" customHeight="1">
      <c r="B29" s="7" t="inlineStr">
        <is>
          <t>ONT masih terdaftar di ACS produksi Telkom</t>
        </is>
      </c>
      <c r="C29" s="9" t="inlineStr">
        <is>
          <t>TINGGI</t>
        </is>
      </c>
      <c r="D29" s="7" t="inlineStr">
        <is>
          <t>Akun admin ONT SUDAH tersedia (21 Okt). Tetapi ONT ini saat ini menunjuk ke ACS Telkom (http://acs.telkom.net:9090/web/tr069…, user acs@acs.telkom.net, interval 43200 dtk). Mengubah URL memutus ONT dari ACS Telkom, dan password aslinya tersembunyi (••••••). WAJIB: foto setelan awal + ketahui password aslinya SEBELUM mengubah; pastikan unit ini boleh diputus (unit lab/non-pelanggan). Tanpa itu ONT tak bisa dikembalikan.</t>
        </is>
      </c>
    </row>
    <row r="30" ht="69" customHeight="1">
      <c r="B30" s="7" t="inlineStr">
        <is>
          <t>IP sumber di balik Docker (NAT)</t>
        </is>
      </c>
      <c r="C30" s="10" t="inlineStr">
        <is>
          <t>SEDANG</t>
        </is>
      </c>
      <c r="D30" s="7" t="inlineStr">
        <is>
          <t>ACS hanya menyimpan Connection Request URL bila host-nya SAMA dengan IP sumber Inform (anti-SSRF). Pada Docker Desktop, IP sumber bisa terbaca sebagai gateway Docker (172.x) — pernah terlihat 172.21.0.1 untuk koneksi dari host. Bila begitu, CR URL tidak tersimpan dan test Fase D gagal bukan karena ONT. Deteksi: INF-08. Mitigasi: isi manual PATCH /devices/{id} atau jalankan acsd native (acsd.exe).</t>
        </is>
      </c>
    </row>
    <row r="31" ht="95" customHeight="1">
      <c r="B31" s="7" t="inlineStr">
        <is>
          <t>Firewall &amp; jaringan laptop</t>
        </is>
      </c>
      <c r="C31" s="10" t="inlineStr">
        <is>
          <t>SEDANG</t>
        </is>
      </c>
      <c r="D31" s="7" t="inlineStr">
        <is>
          <t>Laptop kini di Wi-Fi 'Vpn Dukodu' (172.30.1.220/24, profil Public) — IP BERUBAH dari pagi tadi (sebelumnya 192.168.40.196), jadi ACS URL = http://172.30.1.220:17547/cwmp. ONT (10.0.133.35) terjangkau dari laptop (ping &amp; port 80 OK), tetapi arah SEBALIKNYA (ONT → laptop) belum terbukti: ONT memakai WAN khusus 'TR069' yang belum tentu bisa menjangkau 172.30.1.220. Cek dari menu Diagnosis ONT (PRE-14). Port 58000 (Connection Request) dan 7547 pada ONT tertutup dari laptop — wajar (ZTE biasanya hanya menerima CR dari IP ACS). Rule firewall Docker (Public) ada, belum teruji dari luar.</t>
        </is>
      </c>
    </row>
    <row r="32" ht="43" customHeight="1">
      <c r="B32" s="7" t="inlineStr">
        <is>
          <t>Tanpa TLS (HTTP polos)</t>
        </is>
      </c>
      <c r="C32" s="10" t="inlineStr">
        <is>
          <t>SEDANG</t>
        </is>
      </c>
      <c r="D32" s="7" t="inlineStr">
        <is>
          <t>acsd hanya melayani HTTP di :7547 (host: 17547). Jika firmware ONT mewajibkan https:// maka Inform tidak akan masuk; butuh TLS terminator (docker-compose.tls.yml ada tapi belum dilatih). Kredensial Basic Auth terkirim polos — hanya untuk LAN tertutup.</t>
        </is>
      </c>
    </row>
    <row r="33" ht="43" customHeight="1">
      <c r="B33" s="7" t="inlineStr">
        <is>
          <t>Optik ZTE F609 (TR-098) belum dipetakan</t>
        </is>
      </c>
      <c r="C33" s="11" t="inlineStr">
        <is>
          <t>RENDAH (diharapkan)</t>
        </is>
      </c>
      <c r="D33" s="7" t="inlineStr">
        <is>
          <t>Mapping optical.* hanya ada untuk TR-181 (Device.Optical.Interface). ZTE F609 memakai TR-098 (InternetGatewayDevice) → tab Redaman Optik KOSONG itu normal, bukan bug. Cari path optik di pohon (RD-01) lalu tambahkan sebagai data mapping.</t>
        </is>
      </c>
    </row>
    <row r="34" ht="30" customHeight="1">
      <c r="B34" s="7" t="inlineStr">
        <is>
          <t>Data sisa e2e di DB dev</t>
        </is>
      </c>
      <c r="C34" s="11" t="inlineStr">
        <is>
          <t>RENDAH</t>
        </is>
      </c>
      <c r="D34" s="7" t="inlineStr">
        <is>
          <t>DB dev berisi puluhan tenant/user dari e2e lama (belum dibersihkan atas keputusan pengguna). Buat TENANT BARU khusus UAT (PRE-05); jangan pakai tenant 'Pilot E2E ...'.</t>
        </is>
      </c>
    </row>
    <row r="35" ht="30" customHeight="1">
      <c r="B35" s="7" t="inlineStr">
        <is>
          <t>Email nyata aktif</t>
        </is>
      </c>
      <c r="C35" s="11" t="inlineStr">
        <is>
          <t>RENDAH</t>
        </is>
      </c>
      <c r="D35" s="7" t="inlineStr">
        <is>
          <t>SMTP Gmail aktif di acsd: reset password &amp; laporan bug mengirim email sungguhan (ke ACS_BUG_REPORT_EMAIL). Kredensial Gmail yang pernah terekspos belum di-rotate.</t>
        </is>
      </c>
    </row>
    <row r="36" ht="30" customHeight="1">
      <c r="B36" s="7" t="inlineStr">
        <is>
          <t>Belum di-commit</t>
        </is>
      </c>
      <c r="C36" s="11" t="inlineStr">
        <is>
          <t>INFO</t>
        </is>
      </c>
      <c r="D36" s="7" t="inlineStr">
        <is>
          <t>Working tree bersih kecuali .claude/settings.json (untracked). HEAD = da8639d (branch dev, sinkron origin). Tidak ada kode yang diubah hari ini.</t>
        </is>
      </c>
    </row>
  </sheetData>
  <mergeCells count="8">
    <mergeCell ref="C12:D12"/>
    <mergeCell ref="C6:D6"/>
    <mergeCell ref="C7:D7"/>
    <mergeCell ref="C10:D10"/>
    <mergeCell ref="C11:D11"/>
    <mergeCell ref="C5:D5"/>
    <mergeCell ref="C9:D9"/>
    <mergeCell ref="C8:D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4" customWidth="1" min="10" max="10"/>
    <col width="14" customWidth="1" min="11" max="11"/>
  </cols>
  <sheetData>
    <row r="1">
      <c r="B1" s="1" t="inlineStr">
        <is>
          <t>Ringkasan Hasil UAT</t>
        </is>
      </c>
    </row>
    <row r="2">
      <c r="B2" s="2" t="inlineStr">
        <is>
          <t>Dihitung otomatis dari sheet 'Test Case' (kolom Status). Jangan diisi manual.</t>
        </is>
      </c>
    </row>
    <row r="4" ht="30" customHeight="1">
      <c r="A4" s="12" t="n"/>
      <c r="B4" s="12" t="inlineStr">
        <is>
          <t>Fase</t>
        </is>
      </c>
      <c r="C4" s="12" t="inlineStr">
        <is>
          <t>Total</t>
        </is>
      </c>
      <c r="D4" s="12" t="inlineStr">
        <is>
          <t>Lulus</t>
        </is>
      </c>
      <c r="E4" s="12" t="inlineStr">
        <is>
          <t>Gagal</t>
        </is>
      </c>
      <c r="F4" s="12" t="inlineStr">
        <is>
          <t>Blok</t>
        </is>
      </c>
      <c r="G4" s="12" t="inlineStr">
        <is>
          <t>Skip/NA</t>
        </is>
      </c>
      <c r="H4" s="12" t="inlineStr">
        <is>
          <t>Belum</t>
        </is>
      </c>
      <c r="I4" s="12" t="n"/>
      <c r="J4" s="12" t="inlineStr">
        <is>
          <t>% selesai</t>
        </is>
      </c>
      <c r="K4" s="12" t="inlineStr">
        <is>
          <t>% lulus*</t>
        </is>
      </c>
    </row>
    <row r="5">
      <c r="B5" s="13" t="inlineStr">
        <is>
          <t>A. Persiapan</t>
        </is>
      </c>
      <c r="C5" s="14">
        <f>COUNTIF('Test Case'!$B$5:$B$59,B5)</f>
        <v/>
      </c>
      <c r="D5" s="14">
        <f>COUNTIFS('Test Case'!$B$5:$B$59,B5,'Test Case'!$L$5:$L$59,"Lulus")</f>
        <v/>
      </c>
      <c r="E5" s="14">
        <f>COUNTIFS('Test Case'!$B$5:$B$59,B5,'Test Case'!$L$5:$L$59,"Gagal")</f>
        <v/>
      </c>
      <c r="F5" s="14">
        <f>COUNTIFS('Test Case'!$B$5:$B$59,B5,'Test Case'!$L$5:$L$59,"Blok")</f>
        <v/>
      </c>
      <c r="G5" s="14">
        <f>COUNTIFS('Test Case'!$B$5:$B$59,B5,'Test Case'!$L$5:$L$59,"Skip")+COUNTIFS('Test Case'!$B$5:$B$59,B5,'Test Case'!$L$5:$L$59,"N/A")</f>
        <v/>
      </c>
      <c r="H5" s="14">
        <f>COUNTIFS('Test Case'!$B$5:$B$59,B5,'Test Case'!$L$5:$L$59,"Belum")</f>
        <v/>
      </c>
      <c r="I5" s="14" t="n"/>
      <c r="J5" s="15">
        <f>IF(C5=0,0,(C5-H5)/C5)</f>
        <v/>
      </c>
      <c r="K5" s="15">
        <f>IF((D5+E5+F5)=0,0,D5/(D5+E5+F5))</f>
        <v/>
      </c>
    </row>
    <row r="6">
      <c r="B6" s="16" t="inlineStr">
        <is>
          <t>B. Koneksi (Inform)</t>
        </is>
      </c>
      <c r="C6" s="14">
        <f>COUNTIF('Test Case'!$B$5:$B$59,B6)</f>
        <v/>
      </c>
      <c r="D6" s="14">
        <f>COUNTIFS('Test Case'!$B$5:$B$59,B6,'Test Case'!$L$5:$L$59,"Lulus")</f>
        <v/>
      </c>
      <c r="E6" s="14">
        <f>COUNTIFS('Test Case'!$B$5:$B$59,B6,'Test Case'!$L$5:$L$59,"Gagal")</f>
        <v/>
      </c>
      <c r="F6" s="14">
        <f>COUNTIFS('Test Case'!$B$5:$B$59,B6,'Test Case'!$L$5:$L$59,"Blok")</f>
        <v/>
      </c>
      <c r="G6" s="14">
        <f>COUNTIFS('Test Case'!$B$5:$B$59,B6,'Test Case'!$L$5:$L$59,"Skip")+COUNTIFS('Test Case'!$B$5:$B$59,B6,'Test Case'!$L$5:$L$59,"N/A")</f>
        <v/>
      </c>
      <c r="H6" s="14">
        <f>COUNTIFS('Test Case'!$B$5:$B$59,B6,'Test Case'!$L$5:$L$59,"Belum")</f>
        <v/>
      </c>
      <c r="I6" s="14" t="n"/>
      <c r="J6" s="15">
        <f>IF(C6=0,0,(C6-H6)/C6)</f>
        <v/>
      </c>
      <c r="K6" s="15">
        <f>IF((D6+E6+F6)=0,0,D6/(D6+E6+F6))</f>
        <v/>
      </c>
    </row>
    <row r="7">
      <c r="B7" s="17" t="inlineStr">
        <is>
          <t>C. Baca-saja</t>
        </is>
      </c>
      <c r="C7" s="14">
        <f>COUNTIF('Test Case'!$B$5:$B$59,B7)</f>
        <v/>
      </c>
      <c r="D7" s="14">
        <f>COUNTIFS('Test Case'!$B$5:$B$59,B7,'Test Case'!$L$5:$L$59,"Lulus")</f>
        <v/>
      </c>
      <c r="E7" s="14">
        <f>COUNTIFS('Test Case'!$B$5:$B$59,B7,'Test Case'!$L$5:$L$59,"Gagal")</f>
        <v/>
      </c>
      <c r="F7" s="14">
        <f>COUNTIFS('Test Case'!$B$5:$B$59,B7,'Test Case'!$L$5:$L$59,"Blok")</f>
        <v/>
      </c>
      <c r="G7" s="14">
        <f>COUNTIFS('Test Case'!$B$5:$B$59,B7,'Test Case'!$L$5:$L$59,"Skip")+COUNTIFS('Test Case'!$B$5:$B$59,B7,'Test Case'!$L$5:$L$59,"N/A")</f>
        <v/>
      </c>
      <c r="H7" s="14">
        <f>COUNTIFS('Test Case'!$B$5:$B$59,B7,'Test Case'!$L$5:$L$59,"Belum")</f>
        <v/>
      </c>
      <c r="I7" s="14" t="n"/>
      <c r="J7" s="15">
        <f>IF(C7=0,0,(C7-H7)/C7)</f>
        <v/>
      </c>
      <c r="K7" s="15">
        <f>IF((D7+E7+F7)=0,0,D7/(D7+E7+F7))</f>
        <v/>
      </c>
    </row>
    <row r="8">
      <c r="B8" s="18" t="inlineStr">
        <is>
          <t>D. Connection Request</t>
        </is>
      </c>
      <c r="C8" s="14">
        <f>COUNTIF('Test Case'!$B$5:$B$59,B8)</f>
        <v/>
      </c>
      <c r="D8" s="14">
        <f>COUNTIFS('Test Case'!$B$5:$B$59,B8,'Test Case'!$L$5:$L$59,"Lulus")</f>
        <v/>
      </c>
      <c r="E8" s="14">
        <f>COUNTIFS('Test Case'!$B$5:$B$59,B8,'Test Case'!$L$5:$L$59,"Gagal")</f>
        <v/>
      </c>
      <c r="F8" s="14">
        <f>COUNTIFS('Test Case'!$B$5:$B$59,B8,'Test Case'!$L$5:$L$59,"Blok")</f>
        <v/>
      </c>
      <c r="G8" s="14">
        <f>COUNTIFS('Test Case'!$B$5:$B$59,B8,'Test Case'!$L$5:$L$59,"Skip")+COUNTIFS('Test Case'!$B$5:$B$59,B8,'Test Case'!$L$5:$L$59,"N/A")</f>
        <v/>
      </c>
      <c r="H8" s="14">
        <f>COUNTIFS('Test Case'!$B$5:$B$59,B8,'Test Case'!$L$5:$L$59,"Belum")</f>
        <v/>
      </c>
      <c r="I8" s="14" t="n"/>
      <c r="J8" s="15">
        <f>IF(C8=0,0,(C8-H8)/C8)</f>
        <v/>
      </c>
      <c r="K8" s="15">
        <f>IF((D8+E8+F8)=0,0,D8/(D8+E8+F8))</f>
        <v/>
      </c>
    </row>
    <row r="9">
      <c r="B9" s="19" t="inlineStr">
        <is>
          <t>E. Tulis (hati-hati)</t>
        </is>
      </c>
      <c r="C9" s="14">
        <f>COUNTIF('Test Case'!$B$5:$B$59,B9)</f>
        <v/>
      </c>
      <c r="D9" s="14">
        <f>COUNTIFS('Test Case'!$B$5:$B$59,B9,'Test Case'!$L$5:$L$59,"Lulus")</f>
        <v/>
      </c>
      <c r="E9" s="14">
        <f>COUNTIFS('Test Case'!$B$5:$B$59,B9,'Test Case'!$L$5:$L$59,"Gagal")</f>
        <v/>
      </c>
      <c r="F9" s="14">
        <f>COUNTIFS('Test Case'!$B$5:$B$59,B9,'Test Case'!$L$5:$L$59,"Blok")</f>
        <v/>
      </c>
      <c r="G9" s="14">
        <f>COUNTIFS('Test Case'!$B$5:$B$59,B9,'Test Case'!$L$5:$L$59,"Skip")+COUNTIFS('Test Case'!$B$5:$B$59,B9,'Test Case'!$L$5:$L$59,"N/A")</f>
        <v/>
      </c>
      <c r="H9" s="14">
        <f>COUNTIFS('Test Case'!$B$5:$B$59,B9,'Test Case'!$L$5:$L$59,"Belum")</f>
        <v/>
      </c>
      <c r="I9" s="14" t="n"/>
      <c r="J9" s="15">
        <f>IF(C9=0,0,(C9-H9)/C9)</f>
        <v/>
      </c>
      <c r="K9" s="15">
        <f>IF((D9+E9+F9)=0,0,D9/(D9+E9+F9))</f>
        <v/>
      </c>
    </row>
    <row r="10">
      <c r="B10" s="20" t="inlineStr">
        <is>
          <t>F. Keamanan &amp; Isolasi</t>
        </is>
      </c>
      <c r="C10" s="14">
        <f>COUNTIF('Test Case'!$B$5:$B$59,B10)</f>
        <v/>
      </c>
      <c r="D10" s="14">
        <f>COUNTIFS('Test Case'!$B$5:$B$59,B10,'Test Case'!$L$5:$L$59,"Lulus")</f>
        <v/>
      </c>
      <c r="E10" s="14">
        <f>COUNTIFS('Test Case'!$B$5:$B$59,B10,'Test Case'!$L$5:$L$59,"Gagal")</f>
        <v/>
      </c>
      <c r="F10" s="14">
        <f>COUNTIFS('Test Case'!$B$5:$B$59,B10,'Test Case'!$L$5:$L$59,"Blok")</f>
        <v/>
      </c>
      <c r="G10" s="14">
        <f>COUNTIFS('Test Case'!$B$5:$B$59,B10,'Test Case'!$L$5:$L$59,"Skip")+COUNTIFS('Test Case'!$B$5:$B$59,B10,'Test Case'!$L$5:$L$59,"N/A")</f>
        <v/>
      </c>
      <c r="H10" s="14">
        <f>COUNTIFS('Test Case'!$B$5:$B$59,B10,'Test Case'!$L$5:$L$59,"Belum")</f>
        <v/>
      </c>
      <c r="I10" s="14" t="n"/>
      <c r="J10" s="15">
        <f>IF(C10=0,0,(C10-H10)/C10)</f>
        <v/>
      </c>
      <c r="K10" s="15">
        <f>IF((D10+E10+F10)=0,0,D10/(D10+E10+F10))</f>
        <v/>
      </c>
    </row>
    <row r="11">
      <c r="B11" s="21" t="inlineStr">
        <is>
          <t>G. Stabilitas &amp; Observasi</t>
        </is>
      </c>
      <c r="C11" s="14">
        <f>COUNTIF('Test Case'!$B$5:$B$59,B11)</f>
        <v/>
      </c>
      <c r="D11" s="14">
        <f>COUNTIFS('Test Case'!$B$5:$B$59,B11,'Test Case'!$L$5:$L$59,"Lulus")</f>
        <v/>
      </c>
      <c r="E11" s="14">
        <f>COUNTIFS('Test Case'!$B$5:$B$59,B11,'Test Case'!$L$5:$L$59,"Gagal")</f>
        <v/>
      </c>
      <c r="F11" s="14">
        <f>COUNTIFS('Test Case'!$B$5:$B$59,B11,'Test Case'!$L$5:$L$59,"Blok")</f>
        <v/>
      </c>
      <c r="G11" s="14">
        <f>COUNTIFS('Test Case'!$B$5:$B$59,B11,'Test Case'!$L$5:$L$59,"Skip")+COUNTIFS('Test Case'!$B$5:$B$59,B11,'Test Case'!$L$5:$L$59,"N/A")</f>
        <v/>
      </c>
      <c r="H11" s="14">
        <f>COUNTIFS('Test Case'!$B$5:$B$59,B11,'Test Case'!$L$5:$L$59,"Belum")</f>
        <v/>
      </c>
      <c r="I11" s="14" t="n"/>
      <c r="J11" s="15">
        <f>IF(C11=0,0,(C11-H11)/C11)</f>
        <v/>
      </c>
      <c r="K11" s="15">
        <f>IF((D11+E11+F11)=0,0,D11/(D11+E11+F11))</f>
        <v/>
      </c>
    </row>
    <row r="12">
      <c r="B12" s="22" t="inlineStr">
        <is>
          <t>H. Pemulihan</t>
        </is>
      </c>
      <c r="C12" s="14">
        <f>COUNTIF('Test Case'!$B$5:$B$59,B12)</f>
        <v/>
      </c>
      <c r="D12" s="14">
        <f>COUNTIFS('Test Case'!$B$5:$B$59,B12,'Test Case'!$L$5:$L$59,"Lulus")</f>
        <v/>
      </c>
      <c r="E12" s="14">
        <f>COUNTIFS('Test Case'!$B$5:$B$59,B12,'Test Case'!$L$5:$L$59,"Gagal")</f>
        <v/>
      </c>
      <c r="F12" s="14">
        <f>COUNTIFS('Test Case'!$B$5:$B$59,B12,'Test Case'!$L$5:$L$59,"Blok")</f>
        <v/>
      </c>
      <c r="G12" s="14">
        <f>COUNTIFS('Test Case'!$B$5:$B$59,B12,'Test Case'!$L$5:$L$59,"Skip")+COUNTIFS('Test Case'!$B$5:$B$59,B12,'Test Case'!$L$5:$L$59,"N/A")</f>
        <v/>
      </c>
      <c r="H12" s="14">
        <f>COUNTIFS('Test Case'!$B$5:$B$59,B12,'Test Case'!$L$5:$L$59,"Belum")</f>
        <v/>
      </c>
      <c r="I12" s="14" t="n"/>
      <c r="J12" s="15">
        <f>IF(C12=0,0,(C12-H12)/C12)</f>
        <v/>
      </c>
      <c r="K12" s="15">
        <f>IF((D12+E12+F12)=0,0,D12/(D12+E12+F12))</f>
        <v/>
      </c>
    </row>
    <row r="13">
      <c r="B13" s="23" t="inlineStr">
        <is>
          <t>TOTAL</t>
        </is>
      </c>
      <c r="C13" s="24">
        <f>SUM(C5:C12)</f>
        <v/>
      </c>
      <c r="D13" s="24">
        <f>SUM(D5:D12)</f>
        <v/>
      </c>
      <c r="E13" s="24">
        <f>SUM(E5:E12)</f>
        <v/>
      </c>
      <c r="F13" s="24">
        <f>SUM(F5:F12)</f>
        <v/>
      </c>
      <c r="G13" s="24">
        <f>SUM(G5:G12)</f>
        <v/>
      </c>
      <c r="H13" s="24">
        <f>SUM(H5:H12)</f>
        <v/>
      </c>
      <c r="I13" s="24" t="n"/>
      <c r="J13" s="25">
        <f>IF(C13=0,0,(C13-H13)/C13)</f>
        <v/>
      </c>
      <c r="K13" s="25">
        <f>IF((D13+E13+F13)=0,0,D13/(D13+E13+F13))</f>
        <v/>
      </c>
    </row>
    <row r="14">
      <c r="B14" s="2" t="inlineStr">
        <is>
          <t>* % lulus = Lulus ÷ (Lulus + Gagal + Blok), hanya dari tes yang sudah dijalankan. Kolom 'Skip/NA' = Skip + N/A.</t>
        </is>
      </c>
    </row>
    <row r="16">
      <c r="B16" s="3" t="inlineStr">
        <is>
          <t>Keputusan berdasarkan tes P0</t>
        </is>
      </c>
    </row>
    <row r="17">
      <c r="B17" s="26" t="inlineStr">
        <is>
          <t>P0 total</t>
        </is>
      </c>
      <c r="C17" s="27">
        <f>COUNTIF('Test Case'!$E$5:$E$59,"P0")</f>
        <v/>
      </c>
    </row>
    <row r="18">
      <c r="B18" s="26" t="inlineStr">
        <is>
          <t>P0 Lulus</t>
        </is>
      </c>
      <c r="C18" s="27">
        <f>COUNTIFS('Test Case'!$E$5:$E$59,"P0",'Test Case'!$L$5:$L$59,"Lulus")</f>
        <v/>
      </c>
    </row>
    <row r="19">
      <c r="B19" s="26" t="inlineStr">
        <is>
          <t>P0 Gagal/Blok</t>
        </is>
      </c>
      <c r="C19" s="27">
        <f>COUNTIFS('Test Case'!$E$5:$E$59,"P0",'Test Case'!$L$5:$L$59,"Gagal")+COUNTIFS('Test Case'!$E$5:$E$59,"P0",'Test Case'!$L$5:$L$59,"Blok")</f>
        <v/>
      </c>
    </row>
    <row r="20">
      <c r="B20" s="26" t="inlineStr">
        <is>
          <t>P0 Belum</t>
        </is>
      </c>
      <c r="C20" s="27">
        <f>COUNTIFS('Test Case'!$E$5:$E$59,"P0",'Test Case'!$L$5:$L$59,"Belum")</f>
        <v/>
      </c>
    </row>
    <row r="22">
      <c r="B22" s="3" t="inlineStr">
        <is>
          <t>Kesimpulan</t>
        </is>
      </c>
      <c r="C22" s="28">
        <f>IF(C19&gt;0,"TIDAK LULUS — ada tes P0 gagal/terblokir",IF(C20&gt;0,"BELUM SELESAI — masih ada tes P0 belum dijalankan","LULUS — semua tes P0 lulus"))</f>
        <v/>
      </c>
    </row>
    <row r="24">
      <c r="B24" s="2" t="inlineStr">
        <is>
          <t>Catatan: 'LULUS' berarti checklist ini terpenuhi pada ONT/firmware yang diuji — bukan jaminan kompatibilitas untuk semua vendor/firmware lain.</t>
        </is>
      </c>
    </row>
  </sheetData>
  <mergeCells count="1">
    <mergeCell ref="C22:K22"/>
  </mergeCells>
  <conditionalFormatting sqref="E5:F13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D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48" customWidth="1" min="3" max="3"/>
    <col width="62" customWidth="1" min="4" max="4"/>
  </cols>
  <sheetData>
    <row r="1">
      <c r="B1" s="1" t="inlineStr">
        <is>
          <t>Info Sesi &amp; Perangkat</t>
        </is>
      </c>
    </row>
    <row r="2">
      <c r="B2" s="2" t="inlineStr">
        <is>
          <t>Sel kuning/teks biru = isi manual. ONT uji: ZTE F609 (web admin http://10.0.133.35/start.ghtml, akun admin tersedia). Kredensial &amp; kunci WiFi sengaja tidak dicatat di sini.</t>
        </is>
      </c>
    </row>
    <row r="4">
      <c r="B4" s="29" t="inlineStr">
        <is>
          <t>SESI</t>
        </is>
      </c>
      <c r="C4" s="30" t="n"/>
      <c r="D4" s="30" t="n"/>
    </row>
    <row r="5" ht="17" customHeight="1">
      <c r="B5" s="7" t="inlineStr">
        <is>
          <t>Tanggal</t>
        </is>
      </c>
      <c r="C5" s="31" t="inlineStr">
        <is>
          <t>2026-10-21</t>
        </is>
      </c>
      <c r="D5" s="7" t="inlineStr">
        <is>
          <t>Mulai uji 10.00 WIB</t>
        </is>
      </c>
    </row>
    <row r="6" ht="17" customHeight="1">
      <c r="B6" s="7" t="inlineStr">
        <is>
          <t>Penguji — Software Engineer</t>
        </is>
      </c>
      <c r="C6" s="31" t="inlineStr"/>
      <c r="D6" s="7" t="inlineStr">
        <is>
          <t>Nama</t>
        </is>
      </c>
    </row>
    <row r="7" ht="17" customHeight="1">
      <c r="B7" s="7" t="inlineStr">
        <is>
          <t>Penguji — Network Engineer</t>
        </is>
      </c>
      <c r="C7" s="31" t="inlineStr"/>
      <c r="D7" s="7" t="inlineStr">
        <is>
          <t>Nama</t>
        </is>
      </c>
    </row>
    <row r="8" ht="17" customHeight="1">
      <c r="B8" s="7" t="inlineStr">
        <is>
          <t>Pemilik/penanggung jawab ONT</t>
        </is>
      </c>
      <c r="C8" s="31" t="inlineStr"/>
      <c r="D8" s="7" t="inlineStr">
        <is>
          <t>Yang boleh menyetujui tes ber-dampak (Fase E)</t>
        </is>
      </c>
    </row>
    <row r="9" ht="17" customHeight="1">
      <c r="B9" s="7" t="inlineStr">
        <is>
          <t>Lokasi uji</t>
        </is>
      </c>
      <c r="C9" s="31" t="inlineStr"/>
      <c r="D9" s="7" t="inlineStr"/>
    </row>
    <row r="10">
      <c r="B10" s="29" t="inlineStr">
        <is>
          <t>SERVER ACS</t>
        </is>
      </c>
      <c r="C10" s="30" t="n"/>
      <c r="D10" s="30" t="n"/>
    </row>
    <row r="11" ht="17" customHeight="1">
      <c r="B11" s="7" t="inlineStr">
        <is>
          <t>Versi kode (commit)</t>
        </is>
      </c>
      <c r="C11" s="31" t="inlineStr">
        <is>
          <t>da8639d (branch dev)</t>
        </is>
      </c>
      <c r="D11" s="7" t="inlineStr">
        <is>
          <t>git log -1 --oneline</t>
        </is>
      </c>
    </row>
    <row r="12" ht="17" customHeight="1">
      <c r="B12" s="7" t="inlineStr">
        <is>
          <t>Versi skema DB</t>
        </is>
      </c>
      <c r="C12" s="31" t="inlineStr">
        <is>
          <t>34</t>
        </is>
      </c>
      <c r="D12" s="7" t="inlineStr">
        <is>
          <t>tabel schema_migrations</t>
        </is>
      </c>
    </row>
    <row r="13" ht="43" customHeight="1">
      <c r="B13" s="7" t="inlineStr">
        <is>
          <t>IP laptop/server ACS di jaringan ONT</t>
        </is>
      </c>
      <c r="C13" s="31" t="inlineStr">
        <is>
          <t>172.30.1.220</t>
        </is>
      </c>
      <c r="D13" s="7" t="inlineStr">
        <is>
          <t>Terbaca 21 Okt (Wi-Fi 'Vpn Dukodu'); pagi tadi 192.168.40.196 → IP BERUBAH. Verifikasi ulang dgn ipconfig &amp; jangan pindah jaringan selama uji.</t>
        </is>
      </c>
    </row>
    <row r="14" ht="30" customHeight="1">
      <c r="B14" s="7" t="inlineStr">
        <is>
          <t>ACS URL untuk ONT</t>
        </is>
      </c>
      <c r="C14" s="31" t="inlineStr">
        <is>
          <t>http://172.30.1.220:17547/cwmp</t>
        </is>
      </c>
      <c r="D14" s="7" t="inlineStr">
        <is>
          <t>Format: http://&lt;IP&gt;:17547/cwmp (17547 = port host → 7547 di container)</t>
        </is>
      </c>
    </row>
    <row r="15" ht="17" customHeight="1">
      <c r="B15" s="7" t="inlineStr">
        <is>
          <t>Console web</t>
        </is>
      </c>
      <c r="C15" s="31" t="inlineStr">
        <is>
          <t>http://localhost:5173</t>
        </is>
      </c>
      <c r="D15" s="7" t="inlineStr">
        <is>
          <t>REST API: http://localhost:18080/api/v1</t>
        </is>
      </c>
    </row>
    <row r="16" ht="17" customHeight="1">
      <c r="B16" s="7" t="inlineStr">
        <is>
          <t>Nama tenant pilot UAT</t>
        </is>
      </c>
      <c r="C16" s="31" t="inlineStr"/>
      <c r="D16" s="7" t="inlineStr">
        <is>
          <t>Buat BARU, mis. 'UAT ONT 2026-10-21' (PRE-05)</t>
        </is>
      </c>
    </row>
    <row r="17" ht="30" customHeight="1">
      <c r="B17" s="7" t="inlineStr">
        <is>
          <t>Username CWMP tenant</t>
        </is>
      </c>
      <c r="C17" s="31" t="inlineStr"/>
      <c r="D17" s="7" t="inlineStr">
        <is>
          <t>Dari tombol 'Kredensial CWMP' di Administration &gt; Tenants. JANGAN tulis password di file ini.</t>
        </is>
      </c>
    </row>
    <row r="18">
      <c r="B18" s="29" t="inlineStr">
        <is>
          <t>PERANGKAT UJI (ONT)</t>
        </is>
      </c>
      <c r="C18" s="30" t="n"/>
      <c r="D18" s="30" t="n"/>
    </row>
    <row r="19" ht="30" customHeight="1">
      <c r="B19" s="7" t="inlineStr">
        <is>
          <t>Merek / model</t>
        </is>
      </c>
      <c r="C19" s="31" t="inlineStr">
        <is>
          <t>ZTE F609</t>
        </is>
      </c>
      <c r="D19" s="7" t="inlineStr">
        <is>
          <t>Header web admin ONT (Telkom). Catat ProductClass persis dari Inform.</t>
        </is>
      </c>
    </row>
    <row r="20" ht="17" customHeight="1">
      <c r="B20" s="7" t="inlineStr">
        <is>
          <t>Firmware (software version)</t>
        </is>
      </c>
      <c r="C20" s="31" t="inlineStr"/>
      <c r="D20" s="7" t="inlineStr">
        <is>
          <t>Isi dari GUI ONT: Status &gt; Device Information</t>
        </is>
      </c>
    </row>
    <row r="21" ht="17" customHeight="1">
      <c r="B21" s="7" t="inlineStr">
        <is>
          <t>Hardware version</t>
        </is>
      </c>
      <c r="C21" s="31" t="inlineStr"/>
      <c r="D21" s="7" t="inlineStr">
        <is>
          <t>Isi dari GUI ONT: Status &gt; Device Information</t>
        </is>
      </c>
    </row>
    <row r="22" ht="17" customHeight="1">
      <c r="B22" s="7" t="inlineStr">
        <is>
          <t>Serial number</t>
        </is>
      </c>
      <c r="C22" s="31" t="inlineStr"/>
      <c r="D22" s="7" t="inlineStr">
        <is>
          <t>Isi dari label / GUI ONT; dipakai mencocokkan device di Console</t>
        </is>
      </c>
    </row>
    <row r="23" ht="30" customHeight="1">
      <c r="B23" s="7" t="inlineStr">
        <is>
          <t>MAC / OUI</t>
        </is>
      </c>
      <c r="C23" s="31" t="inlineStr"/>
      <c r="D23" s="7" t="inlineStr">
        <is>
          <t>Isi MAC dari label. Katalog ZTE punya 503 blok OUI; OUI di DeviceId TR-069 bisa berbeda dari OUI MAC.</t>
        </is>
      </c>
    </row>
    <row r="24" ht="17" customHeight="1">
      <c r="B24" s="7" t="inlineStr">
        <is>
          <t>IP web admin ONT</t>
        </is>
      </c>
      <c r="C24" s="31" t="inlineStr">
        <is>
          <t>10.0.133.35</t>
        </is>
      </c>
      <c r="D24" s="7" t="inlineStr">
        <is>
          <t>http://10.0.133.35/start.ghtml (dari laptop: ping &amp; port 80 OK)</t>
        </is>
      </c>
    </row>
    <row r="25" ht="17" customHeight="1">
      <c r="B25" s="7" t="inlineStr">
        <is>
          <t>IP WAN ONT (saat uji)</t>
        </is>
      </c>
      <c r="C25" s="31" t="inlineStr"/>
      <c r="D25" s="7" t="inlineStr">
        <is>
          <t>Isi — penting untuk INF-08 / CR-01</t>
        </is>
      </c>
    </row>
    <row r="26" ht="17" customHeight="1">
      <c r="B26" s="7" t="inlineStr">
        <is>
          <t>Akun admin ONT tersedia?</t>
        </is>
      </c>
      <c r="C26" s="31" t="inlineStr">
        <is>
          <t>Ya</t>
        </is>
      </c>
      <c r="D26" s="7" t="inlineStr">
        <is>
          <t>Menu Administration &gt; TR-069 &gt; Basic terbuka</t>
        </is>
      </c>
    </row>
    <row r="27" ht="69" customHeight="1">
      <c r="B27" s="7" t="inlineStr">
        <is>
          <t>Setelan TR-069 ONT SEBELUM diubah</t>
        </is>
      </c>
      <c r="C27" s="31" t="inlineStr">
        <is>
          <t>WAN Connection=TR069 · ACS URL http://acs.telkom.net:9090/web/tr06… (terpotong, ambil lengkap) · user acs@acs.telkom.net · CR user 'acs' · Periodic Inform ON, 43200 dtk · CR URL tampil http://0.0.0.0:58000/…</t>
        </is>
      </c>
      <c r="D27" s="7" t="inlineStr">
        <is>
          <t>Dari screenshot 21 Okt. Password ACS &amp; CR TERSEMBUNYI — wajib diketahui untuk rollback (INF-01 / RST-01).</t>
        </is>
      </c>
    </row>
    <row r="28" ht="30" customHeight="1">
      <c r="B28" s="7" t="inlineStr">
        <is>
          <t>Pembanding optik (dari GUI ONT)</t>
        </is>
      </c>
      <c r="C28" s="31" t="inlineStr"/>
      <c r="D28" s="7" t="inlineStr">
        <is>
          <t>Isi TX/RX dBm dari GUI ONT (Status &gt; PON) untuk dibandingkan bila ACS kelak membaca nilai optik</t>
        </is>
      </c>
    </row>
    <row r="29" ht="17" customHeight="1">
      <c r="B29" s="7" t="inlineStr">
        <is>
          <t>Cadangan akses Internet</t>
        </is>
      </c>
      <c r="C29" s="31" t="inlineStr"/>
      <c r="D29" s="7" t="inlineStr">
        <is>
          <t>Hotspot HP disiapkan? (disarankan, selama ONT melayani Internet)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P59"/>
  <sheetViews>
    <sheetView zoomScale="9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8" customWidth="1" min="2" max="2"/>
    <col width="34" customWidth="1" min="3" max="3"/>
    <col width="8" customWidth="1" min="4" max="4"/>
    <col width="6" customWidth="1" min="5" max="5"/>
    <col width="14" customWidth="1" min="6" max="6"/>
    <col width="24" customWidth="1" min="7" max="7"/>
    <col width="58" customWidth="1" min="8" max="8"/>
    <col width="44" customWidth="1" min="9" max="9"/>
    <col width="48" customWidth="1" min="10" max="10"/>
    <col width="28" customWidth="1" min="11" max="11"/>
    <col width="10" customWidth="1" min="12" max="12"/>
    <col width="16" customWidth="1" min="13" max="13"/>
    <col width="26" customWidth="1" min="14" max="14"/>
    <col width="11" customWidth="1" min="15" max="15"/>
    <col width="8" customWidth="1" min="16" max="16"/>
  </cols>
  <sheetData>
    <row r="1">
      <c r="A1" s="1" t="inlineStr">
        <is>
          <t>Test Case — UAT Pengujian Langsung ONT</t>
        </is>
      </c>
    </row>
    <row r="2">
      <c r="A2" s="2" t="inlineStr">
        <is>
          <t>SE = Software Engineer · NE = Network Engineer · P0 wajib lulus · Status default 'Belum'. Perintah memakai PowerShell/Bash dari folder proyek D:\Me\Projects\acs; &lt;IP-ACS&gt; = IP laptop (lihat Info Sesi).</t>
        </is>
      </c>
    </row>
    <row r="4" ht="30" customHeight="1">
      <c r="A4" s="12" t="inlineStr">
        <is>
          <t>ID</t>
        </is>
      </c>
      <c r="B4" s="12" t="inlineStr">
        <is>
          <t>Fase</t>
        </is>
      </c>
      <c r="C4" s="12" t="inlineStr">
        <is>
          <t>Test Case</t>
        </is>
      </c>
      <c r="D4" s="12" t="inlineStr">
        <is>
          <t>Peran</t>
        </is>
      </c>
      <c r="E4" s="12" t="inlineStr">
        <is>
          <t>Prio</t>
        </is>
      </c>
      <c r="F4" s="12" t="inlineStr">
        <is>
          <t>Dampak ke ONT</t>
        </is>
      </c>
      <c r="G4" s="12" t="inlineStr">
        <is>
          <t>Prasyarat</t>
        </is>
      </c>
      <c r="H4" s="12" t="inlineStr">
        <is>
          <t>Langkah</t>
        </is>
      </c>
      <c r="I4" s="12" t="inlineStr">
        <is>
          <t>Hasil yang diharapkan</t>
        </is>
      </c>
      <c r="J4" s="12" t="inlineStr">
        <is>
          <t>Cara verifikasi / perintah</t>
        </is>
      </c>
      <c r="K4" s="12" t="inlineStr">
        <is>
          <t>Hasil aktual</t>
        </is>
      </c>
      <c r="L4" s="12" t="inlineStr">
        <is>
          <t>Status</t>
        </is>
      </c>
      <c r="M4" s="12" t="inlineStr">
        <is>
          <t>Bukti (file)</t>
        </is>
      </c>
      <c r="N4" s="12" t="inlineStr">
        <is>
          <t>Catatan</t>
        </is>
      </c>
      <c r="O4" s="12" t="inlineStr">
        <is>
          <t>Penguji</t>
        </is>
      </c>
      <c r="P4" s="12" t="inlineStr">
        <is>
          <t>Jam</t>
        </is>
      </c>
    </row>
    <row r="5" ht="43" customHeight="1">
      <c r="A5" s="32" t="inlineStr">
        <is>
          <t>PRE-01</t>
        </is>
      </c>
      <c r="B5" s="33" t="inlineStr">
        <is>
          <t>A. Persiapan</t>
        </is>
      </c>
      <c r="C5" s="7" t="inlineStr">
        <is>
          <t>Stack Docker hidup &amp; sehat</t>
        </is>
      </c>
      <c r="D5" s="34" t="inlineStr">
        <is>
          <t>SE</t>
        </is>
      </c>
      <c r="E5" s="34" t="inlineStr">
        <is>
          <t>P0</t>
        </is>
      </c>
      <c r="F5" s="34" t="inlineStr">
        <is>
          <t>Tidak ada</t>
        </is>
      </c>
      <c r="G5" s="7" t="inlineStr">
        <is>
          <t>Docker Desktop berjalan</t>
        </is>
      </c>
      <c r="H5" s="7" t="inlineStr">
        <is>
          <t>1) Jalankan docker compose ps.
2) Pastikan mariadb, redis, minio, acsd berstatus Up (healthy).</t>
        </is>
      </c>
      <c r="I5" s="7" t="inlineStr">
        <is>
          <t>4 container Up; acsd &amp; mariadb &amp; redis 'healthy'.</t>
        </is>
      </c>
      <c r="J5" s="7" t="inlineStr">
        <is>
          <t>docker compose ps
(Docker Desktop mati → buka dulu; container restart sendiri)</t>
        </is>
      </c>
      <c r="K5" s="31" t="inlineStr"/>
      <c r="L5" s="35" t="inlineStr">
        <is>
          <t>Belum</t>
        </is>
      </c>
      <c r="M5" s="31" t="inlineStr"/>
      <c r="N5" s="31" t="inlineStr"/>
      <c r="O5" s="31" t="inlineStr"/>
      <c r="P5" s="35" t="inlineStr"/>
    </row>
    <row r="6" ht="43" customHeight="1">
      <c r="A6" s="32" t="inlineStr">
        <is>
          <t>PRE-02</t>
        </is>
      </c>
      <c r="B6" s="33" t="inlineStr">
        <is>
          <t>A. Persiapan</t>
        </is>
      </c>
      <c r="C6" s="7" t="inlineStr">
        <is>
          <t>Health endpoint ACS</t>
        </is>
      </c>
      <c r="D6" s="34" t="inlineStr">
        <is>
          <t>SE</t>
        </is>
      </c>
      <c r="E6" s="34" t="inlineStr">
        <is>
          <t>P0</t>
        </is>
      </c>
      <c r="F6" s="34" t="inlineStr">
        <is>
          <t>Tidak ada</t>
        </is>
      </c>
      <c r="G6" s="7" t="inlineStr">
        <is>
          <t>PRE-01 lulus</t>
        </is>
      </c>
      <c r="H6" s="7" t="inlineStr">
        <is>
          <t>1) Buka /readyz di port 18080.
2) Kirim POST kosong ke port CWMP 17547.</t>
        </is>
      </c>
      <c r="I6" s="7" t="inlineStr">
        <is>
          <t>/readyz → 200 {database:ok, redis:ok}. POST kosong /cwmp → 204 dengan header X-Ratelimit-Limit.</t>
        </is>
      </c>
      <c r="J6" s="7" t="inlineStr">
        <is>
          <t>curl -i http://localhost:18080/readyz
curl -i -X POST http://localhost:17547/cwmp</t>
        </is>
      </c>
      <c r="K6" s="31" t="inlineStr"/>
      <c r="L6" s="35" t="inlineStr">
        <is>
          <t>Belum</t>
        </is>
      </c>
      <c r="M6" s="31" t="inlineStr"/>
      <c r="N6" s="31" t="inlineStr"/>
      <c r="O6" s="31" t="inlineStr"/>
      <c r="P6" s="35" t="inlineStr"/>
    </row>
    <row r="7" ht="56" customHeight="1">
      <c r="A7" s="32" t="inlineStr">
        <is>
          <t>PRE-03</t>
        </is>
      </c>
      <c r="B7" s="33" t="inlineStr">
        <is>
          <t>A. Persiapan</t>
        </is>
      </c>
      <c r="C7" s="7" t="inlineStr">
        <is>
          <t>Versi kode &amp; skema sesuai</t>
        </is>
      </c>
      <c r="D7" s="34" t="inlineStr">
        <is>
          <t>SE</t>
        </is>
      </c>
      <c r="E7" s="34" t="inlineStr">
        <is>
          <t>P1</t>
        </is>
      </c>
      <c r="F7" s="34" t="inlineStr">
        <is>
          <t>Tidak ada</t>
        </is>
      </c>
      <c r="G7" s="7" t="inlineStr">
        <is>
          <t>PRE-01 lulus</t>
        </is>
      </c>
      <c r="H7" s="7" t="inlineStr">
        <is>
          <t>1) Catat commit: git log -1 --oneline.
2) Cek versi migrasi DB.
3) Catat di sheet Info Sesi.</t>
        </is>
      </c>
      <c r="I7" s="7" t="inlineStr">
        <is>
          <t>Commit da8639d; schema_migrations version = 34, dirty = 0.</t>
        </is>
      </c>
      <c r="J7" s="7" t="inlineStr">
        <is>
          <t>git log -1 --oneline
docker compose exec mariadb sh -c 'mariadb -uacs -p"$MARIADB_PASSWORD" acs -e "select * from schema_migrations"'</t>
        </is>
      </c>
      <c r="K7" s="31" t="inlineStr"/>
      <c r="L7" s="35" t="inlineStr">
        <is>
          <t>Belum</t>
        </is>
      </c>
      <c r="M7" s="31" t="inlineStr"/>
      <c r="N7" s="31" t="inlineStr"/>
      <c r="O7" s="31" t="inlineStr"/>
      <c r="P7" s="35" t="inlineStr"/>
    </row>
    <row r="8" ht="43" customHeight="1">
      <c r="A8" s="32" t="inlineStr">
        <is>
          <t>PRE-04</t>
        </is>
      </c>
      <c r="B8" s="33" t="inlineStr">
        <is>
          <t>A. Persiapan</t>
        </is>
      </c>
      <c r="C8" s="7" t="inlineStr">
        <is>
          <t>Console web terbuka &amp; login berhasil</t>
        </is>
      </c>
      <c r="D8" s="34" t="inlineStr">
        <is>
          <t>SE</t>
        </is>
      </c>
      <c r="E8" s="34" t="inlineStr">
        <is>
          <t>P0</t>
        </is>
      </c>
      <c r="F8" s="34" t="inlineStr">
        <is>
          <t>Tidak ada</t>
        </is>
      </c>
      <c r="G8" s="7" t="inlineStr">
        <is>
          <t>Vite dev server berjalan (:5173)</t>
        </is>
      </c>
      <c r="H8" s="7" t="inlineStr">
        <is>
          <t>1) Buka http://localhost:5173.
2) Login dengan akun SUPERADMIN/ADMIN.
3) Buka Dashboard.</t>
        </is>
      </c>
      <c r="I8" s="7" t="inlineStr">
        <is>
          <t>Halaman login tampil, login berhasil, Dashboard tanpa banner galat; DevTools Console tanpa error merah.</t>
        </is>
      </c>
      <c r="J8" s="7" t="inlineStr">
        <is>
          <t>Browser + F12 &gt; Console.
Bila mati: cd frontend; npm run dev</t>
        </is>
      </c>
      <c r="K8" s="31" t="inlineStr"/>
      <c r="L8" s="35" t="inlineStr">
        <is>
          <t>Belum</t>
        </is>
      </c>
      <c r="M8" s="31" t="inlineStr"/>
      <c r="N8" s="31" t="inlineStr"/>
      <c r="O8" s="31" t="inlineStr"/>
      <c r="P8" s="35" t="inlineStr"/>
    </row>
    <row r="9" ht="56" customHeight="1">
      <c r="A9" s="32" t="inlineStr">
        <is>
          <t>PRE-05</t>
        </is>
      </c>
      <c r="B9" s="33" t="inlineStr">
        <is>
          <t>A. Persiapan</t>
        </is>
      </c>
      <c r="C9" s="7" t="inlineStr">
        <is>
          <t>Buat tenant pilot UAT baru</t>
        </is>
      </c>
      <c r="D9" s="34" t="inlineStr">
        <is>
          <t>SE</t>
        </is>
      </c>
      <c r="E9" s="34" t="inlineStr">
        <is>
          <t>P0</t>
        </is>
      </c>
      <c r="F9" s="34" t="inlineStr">
        <is>
          <t>Tidak ada</t>
        </is>
      </c>
      <c r="G9" s="7" t="inlineStr">
        <is>
          <t>Login SUPERADMIN</t>
        </is>
      </c>
      <c r="H9" s="7" t="inlineStr">
        <is>
          <t>1) Administration &gt; Tenants &gt; tambah tenant baru (mis. 'UAT ONT 2026-10-21').
2) JANGAN pakai tenant 'Pilot E2E ...' sisa e2e.
3) Catat nama di Info Sesi.</t>
        </is>
      </c>
      <c r="I9" s="7" t="inlineStr">
        <is>
          <t>Tenant baru muncul di daftar; Devices untuk tenant ini kosong.</t>
        </is>
      </c>
      <c r="J9" s="7" t="inlineStr">
        <is>
          <t>Console: Administration &gt; Tenants</t>
        </is>
      </c>
      <c r="K9" s="31" t="inlineStr"/>
      <c r="L9" s="35" t="inlineStr">
        <is>
          <t>Belum</t>
        </is>
      </c>
      <c r="M9" s="31" t="inlineStr"/>
      <c r="N9" s="31" t="inlineStr"/>
      <c r="O9" s="31" t="inlineStr"/>
      <c r="P9" s="35" t="inlineStr"/>
    </row>
    <row r="10" ht="56" customHeight="1">
      <c r="A10" s="32" t="inlineStr">
        <is>
          <t>PRE-06</t>
        </is>
      </c>
      <c r="B10" s="33" t="inlineStr">
        <is>
          <t>A. Persiapan</t>
        </is>
      </c>
      <c r="C10" s="7" t="inlineStr">
        <is>
          <t>Set kredensial CWMP tenant</t>
        </is>
      </c>
      <c r="D10" s="34" t="inlineStr">
        <is>
          <t>SE</t>
        </is>
      </c>
      <c r="E10" s="34" t="inlineStr">
        <is>
          <t>P0</t>
        </is>
      </c>
      <c r="F10" s="34" t="inlineStr">
        <is>
          <t>Tidak ada</t>
        </is>
      </c>
      <c r="G10" s="7" t="inlineStr">
        <is>
          <t>PRE-05 lulus</t>
        </is>
      </c>
      <c r="H10" s="7" t="inlineStr">
        <is>
          <t>1) Tombol 'Kredensial CWMP' pada baris tenant.
2) Set username &amp; password Inform (kuat, tanpa spasi/karakter aneh).
3) Simpan di tempat aman (bukan di workbook ini).</t>
        </is>
      </c>
      <c r="I10" s="7" t="inlineStr">
        <is>
          <t>Kredensial tersimpan; dipakai untuk mengisi ACS Username/Password di ONT.</t>
        </is>
      </c>
      <c r="J10" s="7" t="inlineStr">
        <is>
          <t>Console: Tenants &gt; Kredensial CWMP</t>
        </is>
      </c>
      <c r="K10" s="31" t="inlineStr"/>
      <c r="L10" s="35" t="inlineStr">
        <is>
          <t>Belum</t>
        </is>
      </c>
      <c r="M10" s="31" t="inlineStr"/>
      <c r="N10" s="31" t="inlineStr"/>
      <c r="O10" s="31" t="inlineStr"/>
      <c r="P10" s="35" t="inlineStr"/>
    </row>
    <row r="11" ht="43" customHeight="1">
      <c r="A11" s="32" t="inlineStr">
        <is>
          <t>PRE-07</t>
        </is>
      </c>
      <c r="B11" s="33" t="inlineStr">
        <is>
          <t>A. Persiapan</t>
        </is>
      </c>
      <c r="C11" s="7" t="inlineStr">
        <is>
          <t>Backup database sebelum uji</t>
        </is>
      </c>
      <c r="D11" s="34" t="inlineStr">
        <is>
          <t>SE</t>
        </is>
      </c>
      <c r="E11" s="34" t="inlineStr">
        <is>
          <t>P0</t>
        </is>
      </c>
      <c r="F11" s="34" t="inlineStr">
        <is>
          <t>Tidak ada</t>
        </is>
      </c>
      <c r="G11" s="7" t="inlineStr">
        <is>
          <t>PRE-01 lulus</t>
        </is>
      </c>
      <c r="H11" s="7" t="inlineStr">
        <is>
          <t>1) Jalankan mariadb-dump ke file bertanggal.
2) Pastikan ukuran file &gt; 0.</t>
        </is>
      </c>
      <c r="I11" s="7" t="inlineStr">
        <is>
          <t>File backup_sebelum_uji_YYYYMMDD.sql terbuat (&gt; 0 KB).</t>
        </is>
      </c>
      <c r="J11" s="7" t="inlineStr">
        <is>
          <t>docker compose exec mariadb sh -c 'mariadb-dump -uacs -p"$MARIADB_PASSWORD" acs' &gt; backup_sebelum_uji_20261021.sql</t>
        </is>
      </c>
      <c r="K11" s="31" t="inlineStr"/>
      <c r="L11" s="35" t="inlineStr">
        <is>
          <t>Belum</t>
        </is>
      </c>
      <c r="M11" s="31" t="inlineStr"/>
      <c r="N11" s="31" t="inlineStr"/>
      <c r="O11" s="31" t="inlineStr"/>
      <c r="P11" s="35" t="inlineStr"/>
    </row>
    <row r="12" ht="82" customHeight="1">
      <c r="A12" s="32" t="inlineStr">
        <is>
          <t>PRE-08</t>
        </is>
      </c>
      <c r="B12" s="33" t="inlineStr">
        <is>
          <t>A. Persiapan</t>
        </is>
      </c>
      <c r="C12" s="7" t="inlineStr">
        <is>
          <t>IP laptop stabil &amp; firewall mengizinkan TCP 17547</t>
        </is>
      </c>
      <c r="D12" s="34" t="inlineStr">
        <is>
          <t>NE</t>
        </is>
      </c>
      <c r="E12" s="34" t="inlineStr">
        <is>
          <t>P0</t>
        </is>
      </c>
      <c r="F12" s="34" t="inlineStr">
        <is>
          <t>Tidak ada</t>
        </is>
      </c>
      <c r="G12" s="7" t="inlineStr">
        <is>
          <t>Laptop di segmen yang sama dengan ONT</t>
        </is>
      </c>
      <c r="H12" s="7" t="inlineStr">
        <is>
          <t>1) ipconfig → catat IP laptop pada jaringan ONT.
2) Pastikan tidak berubah (reservasi DHCP/statik).
3) Matikan/exclude VPN (ProtonVPN aktif) agar trafik LAN tak dialihkan.
4) Pastikan Windows Firewall mengizinkan inbound TCP 17547 pada profil jaringan aktif (Public).</t>
        </is>
      </c>
      <c r="I12" s="7" t="inlineStr">
        <is>
          <t>IP tercatat di Info Sesi; rule inbound untuk port 17547 / com.docker.backend.exe aktif pada profil yang dipakai.</t>
        </is>
      </c>
      <c r="J12" s="7" t="inlineStr">
        <is>
          <t>ipconfig
Get-NetFirewallRule -Enabled True -Direction Inbound | Get-NetFirewallPortFilter | ? LocalPort -match 17547</t>
        </is>
      </c>
      <c r="K12" s="31" t="inlineStr"/>
      <c r="L12" s="35" t="inlineStr">
        <is>
          <t>Belum</t>
        </is>
      </c>
      <c r="M12" s="31" t="inlineStr"/>
      <c r="N12" s="31" t="inlineStr"/>
      <c r="O12" s="31" t="inlineStr"/>
      <c r="P12" s="35" t="inlineStr"/>
    </row>
    <row r="13" ht="56" customHeight="1">
      <c r="A13" s="32" t="inlineStr">
        <is>
          <t>PRE-09</t>
        </is>
      </c>
      <c r="B13" s="33" t="inlineStr">
        <is>
          <t>A. Persiapan</t>
        </is>
      </c>
      <c r="C13" s="7" t="inlineStr">
        <is>
          <t>Gladi jangkauan dari segmen ONT (tanpa ONT)</t>
        </is>
      </c>
      <c r="D13" s="34" t="inlineStr">
        <is>
          <t>NE</t>
        </is>
      </c>
      <c r="E13" s="34" t="inlineStr">
        <is>
          <t>P0</t>
        </is>
      </c>
      <c r="F13" s="34" t="inlineStr">
        <is>
          <t>Tidak ada</t>
        </is>
      </c>
      <c r="G13" s="7" t="inlineStr">
        <is>
          <t>PRE-08 lulus; satu perangkat lain di LAN yang sama dengan ONT</t>
        </is>
      </c>
      <c r="H13" s="7" t="inlineStr">
        <is>
          <t>1) Dari perangkat LAIN (bukan laptop ACS) di segmen ONT: POST kosong ke http://&lt;IP-ACS&gt;:17547/cwmp.
2) Cek kode balasan.</t>
        </is>
      </c>
      <c r="I13" s="7" t="inlineStr">
        <is>
          <t>HTTP 204. Bila timeout/refused → routing/firewall belum benar; perbaiki SEBELUM menyentuh ONT.</t>
        </is>
      </c>
      <c r="J13" s="7" t="inlineStr">
        <is>
          <t>curl -i -X POST http://&lt;IP-ACS&gt;:17547/cwmp
(PowerShell: (Invoke-WebRequest -Method Post -UseBasicParsing http://&lt;IP-ACS&gt;:17547/cwmp).StatusCode)</t>
        </is>
      </c>
      <c r="K13" s="31" t="inlineStr"/>
      <c r="L13" s="35" t="inlineStr">
        <is>
          <t>Belum</t>
        </is>
      </c>
      <c r="M13" s="31" t="inlineStr"/>
      <c r="N13" s="31" t="inlineStr"/>
      <c r="O13" s="31" t="inlineStr"/>
      <c r="P13" s="35" t="inlineStr"/>
    </row>
    <row r="14" ht="69" customHeight="1">
      <c r="A14" s="32" t="inlineStr">
        <is>
          <t>PRE-10</t>
        </is>
      </c>
      <c r="B14" s="33" t="inlineStr">
        <is>
          <t>A. Persiapan</t>
        </is>
      </c>
      <c r="C14" s="7" t="inlineStr">
        <is>
          <t>Gladi Inform dengan simulator + kredensial tenant</t>
        </is>
      </c>
      <c r="D14" s="34" t="inlineStr">
        <is>
          <t>SE+NE</t>
        </is>
      </c>
      <c r="E14" s="34" t="inlineStr">
        <is>
          <t>P1</t>
        </is>
      </c>
      <c r="F14" s="34" t="inlineStr">
        <is>
          <t>Tidak ada</t>
        </is>
      </c>
      <c r="G14" s="7" t="inlineStr">
        <is>
          <t>PRE-06 &amp; PRE-09 lulus</t>
        </is>
      </c>
      <c r="H14" s="7" t="inlineStr">
        <is>
          <t>1) Jalankan simulator dari mesin di segmen ONT: bin\cpesim.exe -acs http://&lt;IP-ACS&gt;:17547/cwmp -user &lt;u&gt; -pass &lt;p&gt; -vendor zte -serial GLADI-001 -events "0 BOOTSTRAP" -v
2) Lihat Devices (scope tenant pilot).
3) Hapus device GLADI-001 sesudahnya.</t>
        </is>
      </c>
      <c r="I14" s="7" t="inlineStr">
        <is>
          <t>Simulator mencetak [OK] ... inform=200; GLADI-001 muncul dengan event 0 BOOTSTRAP. Kredensial salah → 401.</t>
        </is>
      </c>
      <c r="J14" s="7" t="inlineStr">
        <is>
          <t>bin\cpesim.exe sudah dibangun (Windows).
Console: Devices</t>
        </is>
      </c>
      <c r="K14" s="31" t="inlineStr"/>
      <c r="L14" s="35" t="inlineStr">
        <is>
          <t>Belum</t>
        </is>
      </c>
      <c r="M14" s="31" t="inlineStr"/>
      <c r="N14" s="31" t="inlineStr"/>
      <c r="O14" s="31" t="inlineStr"/>
      <c r="P14" s="35" t="inlineStr"/>
    </row>
    <row r="15" ht="56" customHeight="1">
      <c r="A15" s="32" t="inlineStr">
        <is>
          <t>PRE-11</t>
        </is>
      </c>
      <c r="B15" s="33" t="inlineStr">
        <is>
          <t>A. Persiapan</t>
        </is>
      </c>
      <c r="C15" s="7" t="inlineStr">
        <is>
          <t>Gladi Connection Request balik (ACS → segmen ONT)</t>
        </is>
      </c>
      <c r="D15" s="34" t="inlineStr">
        <is>
          <t>SE+NE</t>
        </is>
      </c>
      <c r="E15" s="34" t="inlineStr">
        <is>
          <t>P1</t>
        </is>
      </c>
      <c r="F15" s="34" t="inlineStr">
        <is>
          <t>Tidak ada</t>
        </is>
      </c>
      <c r="G15" s="7" t="inlineStr">
        <is>
          <t>PRE-10 lulus</t>
        </is>
      </c>
      <c r="H15" s="7" t="inlineStr">
        <is>
          <t>1) cpesim ... -serial GLADI-002 -conn-req -cr-host &lt;IP-mesin-simulator&gt; -cr-port 7548 (biarkan berjalan).
2) Device Detail GLADI-002 → Connection Request.
3) Hapus device uji setelahnya.</t>
        </is>
      </c>
      <c r="I15" s="7" t="inlineStr">
        <is>
          <t>cpesim mencetak '[conn-req -&gt; Inform]'; muncul sesi baru event 6 CONNECTION REQUEST. Gagal = port balik diblok firewall/NAT (akan menimpa ONT asli juga).</t>
        </is>
      </c>
      <c r="J15" s="7" t="inlineStr">
        <is>
          <t>Console: Device Detail &gt; Connection Request</t>
        </is>
      </c>
      <c r="K15" s="31" t="inlineStr"/>
      <c r="L15" s="35" t="inlineStr">
        <is>
          <t>Belum</t>
        </is>
      </c>
      <c r="M15" s="31" t="inlineStr"/>
      <c r="N15" s="31" t="inlineStr"/>
      <c r="O15" s="31" t="inlineStr"/>
      <c r="P15" s="35" t="inlineStr"/>
    </row>
    <row r="16" ht="43" customHeight="1">
      <c r="A16" s="32" t="inlineStr">
        <is>
          <t>PRE-12</t>
        </is>
      </c>
      <c r="B16" s="33" t="inlineStr">
        <is>
          <t>A. Persiapan</t>
        </is>
      </c>
      <c r="C16" s="7" t="inlineStr">
        <is>
          <t>OUI ONT (ZTE) ada di katalog</t>
        </is>
      </c>
      <c r="D16" s="34" t="inlineStr">
        <is>
          <t>SE</t>
        </is>
      </c>
      <c r="E16" s="34" t="inlineStr">
        <is>
          <t>P1</t>
        </is>
      </c>
      <c r="F16" s="34" t="inlineStr">
        <is>
          <t>Tidak ada</t>
        </is>
      </c>
      <c r="G16" s="7" t="inlineStr">
        <is>
          <t>Login ADMIN</t>
        </is>
      </c>
      <c r="H16" s="7" t="inlineStr">
        <is>
          <t>1) Catalog &gt; Vendors &gt; ZTE &gt; OUI.
2) Cari 6 hex pertama MAC ONT (label perangkat).</t>
        </is>
      </c>
      <c r="I16" s="7" t="inlineStr">
        <is>
          <t>OUI terdaftar untuk ZTE (seed IEEE migrasi 0022). Bila tak ada → tambah di Catalog sebelum Inform pertama.</t>
        </is>
      </c>
      <c r="J16" s="7" t="inlineStr">
        <is>
          <t>Console: Catalog</t>
        </is>
      </c>
      <c r="K16" s="31" t="inlineStr"/>
      <c r="L16" s="35" t="inlineStr">
        <is>
          <t>Belum</t>
        </is>
      </c>
      <c r="M16" s="31" t="inlineStr"/>
      <c r="N16" s="31" t="inlineStr"/>
      <c r="O16" s="31" t="inlineStr"/>
      <c r="P16" s="35" t="inlineStr"/>
    </row>
    <row r="17" ht="82" customHeight="1">
      <c r="A17" s="32" t="inlineStr">
        <is>
          <t>PRE-13</t>
        </is>
      </c>
      <c r="B17" s="33" t="inlineStr">
        <is>
          <t>A. Persiapan</t>
        </is>
      </c>
      <c r="C17" s="7" t="inlineStr">
        <is>
          <t>Rencana rollback &amp; cadangan akses</t>
        </is>
      </c>
      <c r="D17" s="34" t="inlineStr">
        <is>
          <t>NE</t>
        </is>
      </c>
      <c r="E17" s="34" t="inlineStr">
        <is>
          <t>P0</t>
        </is>
      </c>
      <c r="F17" s="34" t="inlineStr">
        <is>
          <t>Tidak ada</t>
        </is>
      </c>
      <c r="G17" s="7" t="inlineStr">
        <is>
          <t>Pemilik ONT hadir</t>
        </is>
      </c>
      <c r="H17" s="7" t="inlineStr">
        <is>
          <t>1) Siapkan hotspot HP sebagai Internet cadangan.
2) Siapkan cara mengembalikan setelan TR-069 ONT.
3) Sepakati tes mana di Fase E yang BOLEH dijalankan.
4) Konfirmasi unit ini BOLEH diputus dari ACS Telkom (acs.telkom.net:9090); ketahui password ACS &amp; CR aslinya untuk rollback.</t>
        </is>
      </c>
      <c r="I17" s="7" t="inlineStr">
        <is>
          <t>Pemilik ONT menyetujui tertulis (catat di Info Sesi) tes ber-dampak yang diizinkan.</t>
        </is>
      </c>
      <c r="J17" s="7" t="inlineStr">
        <is>
          <t>—</t>
        </is>
      </c>
      <c r="K17" s="31" t="inlineStr"/>
      <c r="L17" s="35" t="inlineStr">
        <is>
          <t>Belum</t>
        </is>
      </c>
      <c r="M17" s="31" t="inlineStr"/>
      <c r="N17" s="31" t="inlineStr"/>
      <c r="O17" s="31" t="inlineStr"/>
      <c r="P17" s="35" t="inlineStr"/>
    </row>
    <row r="18" ht="69" customHeight="1">
      <c r="A18" s="32" t="inlineStr">
        <is>
          <t>PRE-14</t>
        </is>
      </c>
      <c r="B18" s="33" t="inlineStr">
        <is>
          <t>A. Persiapan</t>
        </is>
      </c>
      <c r="C18" s="7" t="inlineStr">
        <is>
          <t>ONT dapat menjangkau ACS (ping dari GUI ONT)</t>
        </is>
      </c>
      <c r="D18" s="34" t="inlineStr">
        <is>
          <t>NE</t>
        </is>
      </c>
      <c r="E18" s="34" t="inlineStr">
        <is>
          <t>P0</t>
        </is>
      </c>
      <c r="F18" s="34" t="inlineStr">
        <is>
          <t>Tidak ada</t>
        </is>
      </c>
      <c r="G18" s="7" t="inlineStr">
        <is>
          <t>Akun admin ONT; PRE-08 lulus</t>
        </is>
      </c>
      <c r="H18" s="7" t="inlineStr">
        <is>
          <t>1) GUI ONT &gt; Diagnosis (menu 'Diagnosis') &gt; Ping.
2) Ping ke 172.30.1.220 (IP laptop) — bila tersedia pilih WAN TR069.
3) Catat hasil; bila gagal coba pilih WAN lain.</t>
        </is>
      </c>
      <c r="I18" s="7" t="inlineStr">
        <is>
          <t>Ping dari ONT ke laptop berhasil. Gagal = ONT (WAN TR069) tak punya rute ke 172.30.1.220 → Inform TIDAK akan pernah masuk; selesaikan routing/jaringan dulu atau pakai ACS di segmen yang terjangkau ONT.</t>
        </is>
      </c>
      <c r="J18" s="7" t="inlineStr">
        <is>
          <t>GUI ONT &gt; Diagnosis. Dari laptop (sudah terbukti): ping 10.0.133.35 OK, TCP 80 OK; TCP 58000 &amp; 7547 tertutup (wajar).</t>
        </is>
      </c>
      <c r="K18" s="31" t="inlineStr"/>
      <c r="L18" s="35" t="inlineStr">
        <is>
          <t>Belum</t>
        </is>
      </c>
      <c r="M18" s="31" t="inlineStr"/>
      <c r="N18" s="31" t="inlineStr"/>
      <c r="O18" s="31" t="inlineStr"/>
      <c r="P18" s="35" t="inlineStr"/>
    </row>
    <row r="19" ht="108" customHeight="1">
      <c r="A19" s="32" t="inlineStr">
        <is>
          <t>INF-01</t>
        </is>
      </c>
      <c r="B19" s="36" t="inlineStr">
        <is>
          <t>B. Koneksi (Inform)</t>
        </is>
      </c>
      <c r="C19" s="7" t="inlineStr">
        <is>
          <t>Catat setelan TR-069 ONT sebelum diubah</t>
        </is>
      </c>
      <c r="D19" s="34" t="inlineStr">
        <is>
          <t>NE</t>
        </is>
      </c>
      <c r="E19" s="34" t="inlineStr">
        <is>
          <t>P0</t>
        </is>
      </c>
      <c r="F19" s="34" t="inlineStr">
        <is>
          <t>Tidak ada</t>
        </is>
      </c>
      <c r="G19" s="7" t="inlineStr">
        <is>
          <t>Akun ADMIN ONT; PRE-13 lulus</t>
        </is>
      </c>
      <c r="H19" s="7" t="inlineStr">
        <is>
          <t>1) Login web ONT (http://10.0.133.35/start.ghtml) dengan akun admin.
2) Administration &gt; TR-069 &gt; Basic.
3) Foto SELURUH halaman: WAN Connection, ACS URL LENGKAP (klik field, geser — di screenshot terpotong), username, interval 43200, Connection Request URL/username.
4) Pastikan password ACS &amp; CR asli diketahui (field tersembunyi).</t>
        </is>
      </c>
      <c r="I19" s="7" t="inlineStr">
        <is>
          <t>Setelan awal terdokumentasi (foto tersimpan). Bila menu TR-069 tidak ada → akun bukan admin: STOP, minta akun yang sah.</t>
        </is>
      </c>
      <c r="J19" s="7" t="inlineStr">
        <is>
          <t>Foto → simpan sebagai INF-01.png</t>
        </is>
      </c>
      <c r="K19" s="31" t="inlineStr"/>
      <c r="L19" s="35" t="inlineStr">
        <is>
          <t>Belum</t>
        </is>
      </c>
      <c r="M19" s="31" t="inlineStr"/>
      <c r="N19" s="31" t="inlineStr"/>
      <c r="O19" s="31" t="inlineStr"/>
      <c r="P19" s="35" t="inlineStr"/>
    </row>
    <row r="20" ht="121" customHeight="1">
      <c r="A20" s="32" t="inlineStr">
        <is>
          <t>INF-02</t>
        </is>
      </c>
      <c r="B20" s="36" t="inlineStr">
        <is>
          <t>B. Koneksi (Inform)</t>
        </is>
      </c>
      <c r="C20" s="7" t="inlineStr">
        <is>
          <t>Arahkan ONT ke ACS</t>
        </is>
      </c>
      <c r="D20" s="34" t="inlineStr">
        <is>
          <t>NE</t>
        </is>
      </c>
      <c r="E20" s="34" t="inlineStr">
        <is>
          <t>P0</t>
        </is>
      </c>
      <c r="F20" s="34" t="inlineStr">
        <is>
          <t>Ringan</t>
        </is>
      </c>
      <c r="G20" s="7" t="inlineStr">
        <is>
          <t>INF-01 lulus; PRE-09 lulus</t>
        </is>
      </c>
      <c r="H20" s="7" t="inlineStr">
        <is>
          <t>1) Administration &gt; TR-069 &gt; Basic. WAN Connection biarkan TR069.
2) ACS URL = http://172.30.1.220:17547/cwmp (IP laptop SAAT INI).
3) Username/Password = kredensial CWMP tenant UAT.
4) Periodic Inform interval 43200 → 300 detik.
5) Connection Request username/password: isi nilai yang Anda ketahui (default tampil 'acs'); catat.
6) Simpan/Submit.</t>
        </is>
      </c>
      <c r="I20" s="7" t="inlineStr">
        <is>
          <t>Setelan tersimpan di ONT tanpa error; ONT memulai Inform ke ACS.</t>
        </is>
      </c>
      <c r="J20" s="7" t="inlineStr">
        <is>
          <t>GUI ONT. Bila ONT mewajibkan https:// → catat (lihat Batasan: tanpa TLS)</t>
        </is>
      </c>
      <c r="K20" s="31" t="inlineStr"/>
      <c r="L20" s="35" t="inlineStr">
        <is>
          <t>Belum</t>
        </is>
      </c>
      <c r="M20" s="31" t="inlineStr"/>
      <c r="N20" s="31" t="inlineStr"/>
      <c r="O20" s="31" t="inlineStr"/>
      <c r="P20" s="35" t="inlineStr"/>
    </row>
    <row r="21" ht="69" customHeight="1">
      <c r="A21" s="32" t="inlineStr">
        <is>
          <t>INF-03</t>
        </is>
      </c>
      <c r="B21" s="36" t="inlineStr">
        <is>
          <t>B. Koneksi (Inform)</t>
        </is>
      </c>
      <c r="C21" s="7" t="inlineStr">
        <is>
          <t>Inform pertama muncul di Devices</t>
        </is>
      </c>
      <c r="D21" s="34" t="inlineStr">
        <is>
          <t>SE+NE</t>
        </is>
      </c>
      <c r="E21" s="34" t="inlineStr">
        <is>
          <t>P0</t>
        </is>
      </c>
      <c r="F21" s="34" t="inlineStr">
        <is>
          <t>Tidak ada</t>
        </is>
      </c>
      <c r="G21" s="7" t="inlineStr">
        <is>
          <t>INF-02 lulus</t>
        </is>
      </c>
      <c r="H21" s="7" t="inlineStr">
        <is>
          <t>1) Console &gt; Devices, scope tenant pilot.
2) Tunggu ≤ beberapa menit (atau reboot ONT bila tak muncul).
3) Cocokkan serial.</t>
        </is>
      </c>
      <c r="I21" s="7" t="inlineStr">
        <is>
          <t>Device muncul dengan serial sesuai label/GUI ONT; event 0 BOOTSTRAP / 1 BOOT / 2 PERIODIC. Tidak muncul dalam 5–10 menit → lihat PRE-14 (ONT mungkin tak bisa menjangkau ACS lewat WAN TR069).</t>
        </is>
      </c>
      <c r="J21" s="7" t="inlineStr">
        <is>
          <t>Console: Devices
Bila tak muncul: docker logs acs-acsd-1 --since 10m ; lihat tabel di sheet Troubleshooting</t>
        </is>
      </c>
      <c r="K21" s="31" t="inlineStr"/>
      <c r="L21" s="35" t="inlineStr">
        <is>
          <t>Belum</t>
        </is>
      </c>
      <c r="M21" s="31" t="inlineStr"/>
      <c r="N21" s="31" t="inlineStr"/>
      <c r="O21" s="31" t="inlineStr"/>
      <c r="P21" s="35" t="inlineStr"/>
    </row>
    <row r="22" ht="56" customHeight="1">
      <c r="A22" s="32" t="inlineStr">
        <is>
          <t>INF-04</t>
        </is>
      </c>
      <c r="B22" s="36" t="inlineStr">
        <is>
          <t>B. Koneksi (Inform)</t>
        </is>
      </c>
      <c r="C22" s="7" t="inlineStr">
        <is>
          <t>Vendor teridentifikasi: ZTE</t>
        </is>
      </c>
      <c r="D22" s="34" t="inlineStr">
        <is>
          <t>SE</t>
        </is>
      </c>
      <c r="E22" s="34" t="inlineStr">
        <is>
          <t>P0</t>
        </is>
      </c>
      <c r="F22" s="34" t="inlineStr">
        <is>
          <t>Tidak ada</t>
        </is>
      </c>
      <c r="G22" s="7" t="inlineStr">
        <is>
          <t>INF-03 lulus</t>
        </is>
      </c>
      <c r="H22" s="7" t="inlineStr">
        <is>
          <t>1) Buka Device Detail.
2) Lihat kolom Vendor.</t>
        </is>
      </c>
      <c r="I22" s="7" t="inlineStr">
        <is>
          <t>Vendor = ZTE (bukan 'Vendor belum diketahui'). Bila belum diketahui: catat OUI di DeviceId; tambah via Catalog Vendor — Inform berikutnya menyembuhkan otomatis.</t>
        </is>
      </c>
      <c r="J22" s="7" t="inlineStr">
        <is>
          <t>Console: Device Detail; catat OUI &amp; ProductClass dari log Inform</t>
        </is>
      </c>
      <c r="K22" s="31" t="inlineStr"/>
      <c r="L22" s="35" t="inlineStr">
        <is>
          <t>Belum</t>
        </is>
      </c>
      <c r="M22" s="31" t="inlineStr"/>
      <c r="N22" s="31" t="inlineStr"/>
      <c r="O22" s="31" t="inlineStr"/>
      <c r="P22" s="35" t="inlineStr"/>
    </row>
    <row r="23" ht="43" customHeight="1">
      <c r="A23" s="32" t="inlineStr">
        <is>
          <t>INF-05</t>
        </is>
      </c>
      <c r="B23" s="36" t="inlineStr">
        <is>
          <t>B. Koneksi (Inform)</t>
        </is>
      </c>
      <c r="C23" s="7" t="inlineStr">
        <is>
          <t>Data model: TR-098 atau TR-181</t>
        </is>
      </c>
      <c r="D23" s="34" t="inlineStr">
        <is>
          <t>SE</t>
        </is>
      </c>
      <c r="E23" s="34" t="inlineStr">
        <is>
          <t>P0</t>
        </is>
      </c>
      <c r="F23" s="34" t="inlineStr">
        <is>
          <t>Tidak ada</t>
        </is>
      </c>
      <c r="G23" s="7" t="inlineStr">
        <is>
          <t>INF-03 lulus</t>
        </is>
      </c>
      <c r="H23" s="7" t="inlineStr">
        <is>
          <t>1) Device Detail → lihat data model version.
2) Catat: InternetGatewayDevice.* (TR-098) atau Device.* (TR-181).</t>
        </is>
      </c>
      <c r="I23" s="7" t="inlineStr">
        <is>
          <t>Data model ter-resolve sesuai perangkat; dicatat di sheet 'Parameter TR-069'.</t>
        </is>
      </c>
      <c r="J23" s="7" t="inlineStr">
        <is>
          <t>Console: Device Detail</t>
        </is>
      </c>
      <c r="K23" s="31" t="inlineStr"/>
      <c r="L23" s="35" t="inlineStr">
        <is>
          <t>Belum</t>
        </is>
      </c>
      <c r="M23" s="31" t="inlineStr"/>
      <c r="N23" s="31" t="inlineStr"/>
      <c r="O23" s="31" t="inlineStr"/>
      <c r="P23" s="35" t="inlineStr"/>
    </row>
    <row r="24" ht="69" customHeight="1">
      <c r="A24" s="32" t="inlineStr">
        <is>
          <t>INF-06</t>
        </is>
      </c>
      <c r="B24" s="36" t="inlineStr">
        <is>
          <t>B. Koneksi (Inform)</t>
        </is>
      </c>
      <c r="C24" s="7" t="inlineStr">
        <is>
          <t>Identitas perangkat terbaca benar</t>
        </is>
      </c>
      <c r="D24" s="34" t="inlineStr">
        <is>
          <t>SE+NE</t>
        </is>
      </c>
      <c r="E24" s="34" t="inlineStr">
        <is>
          <t>P1</t>
        </is>
      </c>
      <c r="F24" s="34" t="inlineStr">
        <is>
          <t>Tidak ada</t>
        </is>
      </c>
      <c r="G24" s="7" t="inlineStr">
        <is>
          <t>INF-03 lulus</t>
        </is>
      </c>
      <c r="H24" s="7" t="inlineStr">
        <is>
          <t>1) Bandingkan Device Detail dengan Info Sesi: model, serial, hardware, software version.
2) Catat ProductClass persis.</t>
        </is>
      </c>
      <c r="I24" s="7" t="inlineStr">
        <is>
          <t>Serial, software &amp; hardware version sama dengan GUI ONT (Status &gt; Device Information). Kolom 'model' kosong = NORMAL: katalog belum punya model ZTE dgn product_class ini — daftarkan setelah melihat ProductClass.</t>
        </is>
      </c>
      <c r="J24" s="7" t="inlineStr">
        <is>
          <t>Console: Device Detail vs GUI ONT</t>
        </is>
      </c>
      <c r="K24" s="31" t="inlineStr"/>
      <c r="L24" s="35" t="inlineStr">
        <is>
          <t>Belum</t>
        </is>
      </c>
      <c r="M24" s="31" t="inlineStr"/>
      <c r="N24" s="31" t="inlineStr"/>
      <c r="O24" s="31" t="inlineStr"/>
      <c r="P24" s="35" t="inlineStr"/>
    </row>
    <row r="25" ht="43" customHeight="1">
      <c r="A25" s="32" t="inlineStr">
        <is>
          <t>INF-07</t>
        </is>
      </c>
      <c r="B25" s="36" t="inlineStr">
        <is>
          <t>B. Koneksi (Inform)</t>
        </is>
      </c>
      <c r="C25" s="7" t="inlineStr">
        <is>
          <t>Event CWMP tercatat dengan kode persis</t>
        </is>
      </c>
      <c r="D25" s="34" t="inlineStr">
        <is>
          <t>SE</t>
        </is>
      </c>
      <c r="E25" s="34" t="inlineStr">
        <is>
          <t>P1</t>
        </is>
      </c>
      <c r="F25" s="34" t="inlineStr">
        <is>
          <t>Tidak ada</t>
        </is>
      </c>
      <c r="G25" s="7" t="inlineStr">
        <is>
          <t>INF-03 lulus</t>
        </is>
      </c>
      <c r="H25" s="7" t="inlineStr">
        <is>
          <t>1) Device Detail → tab Histori Event.
2) Periksa string event.</t>
        </is>
      </c>
      <c r="I25" s="7" t="inlineStr">
        <is>
          <t>Kode persis spec: '0 BOOTSTRAP', '1 BOOT', '2 PERIODIC', '6 CONNECTION REQUEST', dst. — tanpa transformasi.</t>
        </is>
      </c>
      <c r="J25" s="7" t="inlineStr">
        <is>
          <t>Console: Device Detail &gt; Histori Event
API: GET /api/v1/devices/{id}/events</t>
        </is>
      </c>
      <c r="K25" s="31" t="inlineStr"/>
      <c r="L25" s="35" t="inlineStr">
        <is>
          <t>Belum</t>
        </is>
      </c>
      <c r="M25" s="31" t="inlineStr"/>
      <c r="N25" s="31" t="inlineStr"/>
      <c r="O25" s="31" t="inlineStr"/>
      <c r="P25" s="35" t="inlineStr"/>
    </row>
    <row r="26" ht="56" customHeight="1">
      <c r="A26" s="32" t="inlineStr">
        <is>
          <t>INF-08</t>
        </is>
      </c>
      <c r="B26" s="36" t="inlineStr">
        <is>
          <t>B. Koneksi (Inform)</t>
        </is>
      </c>
      <c r="C26" s="7" t="inlineStr">
        <is>
          <t>IP sumber Inform &amp; Connection Request URL tersimpan</t>
        </is>
      </c>
      <c r="D26" s="34" t="inlineStr">
        <is>
          <t>SE+NE</t>
        </is>
      </c>
      <c r="E26" s="34" t="inlineStr">
        <is>
          <t>P0</t>
        </is>
      </c>
      <c r="F26" s="34" t="inlineStr">
        <is>
          <t>Tidak ada</t>
        </is>
      </c>
      <c r="G26" s="7" t="inlineStr">
        <is>
          <t>INF-03 lulus</t>
        </is>
      </c>
      <c r="H26" s="7" t="inlineStr">
        <is>
          <t>1) Device Detail: lihat IP address &amp; Connection Request URL.
2) Bandingkan IP dengan IP WAN ONT sebenarnya (Info Sesi).
3) Catat bila IP = 172.x (gateway Docker) atau CR URL kosong.</t>
        </is>
      </c>
      <c r="I26" s="7" t="inlineStr">
        <is>
          <t>IP address = IP WAN ONT; CR URL terisi dengan host = IP tersebut. Bila IP = 172.x / CR URL kosong → risiko Docker NAT terjadi: gunakan CR-05 (isi manual) — BUKAN bug ONT.</t>
        </is>
      </c>
      <c r="J26" s="7" t="inlineStr">
        <is>
          <t>Console: Device Detail
ANTI-SSRF: CR URL hanya disimpan jika host == IP sumber Inform</t>
        </is>
      </c>
      <c r="K26" s="31" t="inlineStr"/>
      <c r="L26" s="35" t="inlineStr">
        <is>
          <t>Belum</t>
        </is>
      </c>
      <c r="M26" s="31" t="inlineStr"/>
      <c r="N26" s="31" t="inlineStr"/>
      <c r="O26" s="31" t="inlineStr"/>
      <c r="P26" s="35" t="inlineStr"/>
    </row>
    <row r="27" ht="43" customHeight="1">
      <c r="A27" s="32" t="inlineStr">
        <is>
          <t>INF-09</t>
        </is>
      </c>
      <c r="B27" s="36" t="inlineStr">
        <is>
          <t>B. Koneksi (Inform)</t>
        </is>
      </c>
      <c r="C27" s="7" t="inlineStr">
        <is>
          <t>Kredensial salah ditolak 401</t>
        </is>
      </c>
      <c r="D27" s="34" t="inlineStr">
        <is>
          <t>SE</t>
        </is>
      </c>
      <c r="E27" s="34" t="inlineStr">
        <is>
          <t>P1</t>
        </is>
      </c>
      <c r="F27" s="34" t="inlineStr">
        <is>
          <t>Tidak ada</t>
        </is>
      </c>
      <c r="G27" s="7" t="inlineStr">
        <is>
          <t>PRE-06 lulus</t>
        </is>
      </c>
      <c r="H27" s="7" t="inlineStr">
        <is>
          <t>1) Dari laptop: POST ke /cwmp dengan Basic Auth salah (tanpa menyentuh ONT).
2) Lihat balasan.</t>
        </is>
      </c>
      <c r="I27" s="7" t="inlineStr">
        <is>
          <t>HTTP 401 + header WWW-Authenticate: Basic realm="ACS". POST kosong tanpa kredensial = 204 (normal).</t>
        </is>
      </c>
      <c r="J27" s="7" t="inlineStr">
        <is>
          <t>curl -i -X POST -H 'Content-Type: text/xml' -d '&lt;x/&gt;' -u salah:salah http://localhost:17547/cwmp</t>
        </is>
      </c>
      <c r="K27" s="31" t="inlineStr"/>
      <c r="L27" s="35" t="inlineStr">
        <is>
          <t>Belum</t>
        </is>
      </c>
      <c r="M27" s="31" t="inlineStr"/>
      <c r="N27" s="31" t="inlineStr"/>
      <c r="O27" s="31" t="inlineStr"/>
      <c r="P27" s="35" t="inlineStr"/>
    </row>
    <row r="28" ht="43" customHeight="1">
      <c r="A28" s="32" t="inlineStr">
        <is>
          <t>INF-10</t>
        </is>
      </c>
      <c r="B28" s="36" t="inlineStr">
        <is>
          <t>B. Koneksi (Inform)</t>
        </is>
      </c>
      <c r="C28" s="7" t="inlineStr">
        <is>
          <t>Periodic Inform stabil 3 siklus</t>
        </is>
      </c>
      <c r="D28" s="34" t="inlineStr">
        <is>
          <t>SE+NE</t>
        </is>
      </c>
      <c r="E28" s="34" t="inlineStr">
        <is>
          <t>P1</t>
        </is>
      </c>
      <c r="F28" s="34" t="inlineStr">
        <is>
          <t>Tidak ada</t>
        </is>
      </c>
      <c r="G28" s="7" t="inlineStr">
        <is>
          <t>INF-02 lulus (interval 300 dtk ≈ 15 menit)</t>
        </is>
      </c>
      <c r="H28" s="7" t="inlineStr">
        <is>
          <t>1) Catat jam Periodic Inform ke-1, 2, 3 di tab Histori Event.
2) Hitung selisih.</t>
        </is>
      </c>
      <c r="I28" s="7" t="inlineStr">
        <is>
          <t>3 event '2 PERIODIC' berurutan sesuai interval (±toleransi); tidak ada sesi OPEN menumpuk.</t>
        </is>
      </c>
      <c r="J28" s="7" t="inlineStr">
        <is>
          <t>Console: Histori Event; sesi CWMP (status COMPLETED/TIMEOUT)</t>
        </is>
      </c>
      <c r="K28" s="31" t="inlineStr"/>
      <c r="L28" s="35" t="inlineStr">
        <is>
          <t>Belum</t>
        </is>
      </c>
      <c r="M28" s="31" t="inlineStr"/>
      <c r="N28" s="31" t="inlineStr"/>
      <c r="O28" s="31" t="inlineStr"/>
      <c r="P28" s="35" t="inlineStr"/>
    </row>
    <row r="29" ht="56" customHeight="1">
      <c r="A29" s="32" t="inlineStr">
        <is>
          <t>RD-01</t>
        </is>
      </c>
      <c r="B29" s="37" t="inlineStr">
        <is>
          <t>C. Baca-saja</t>
        </is>
      </c>
      <c r="C29" s="7" t="inlineStr">
        <is>
          <t>Refresh pohon parameter (GetParameterNames)</t>
        </is>
      </c>
      <c r="D29" s="34" t="inlineStr">
        <is>
          <t>SE+NE</t>
        </is>
      </c>
      <c r="E29" s="34" t="inlineStr">
        <is>
          <t>P0</t>
        </is>
      </c>
      <c r="F29" s="34" t="inlineStr">
        <is>
          <t>Tidak ada</t>
        </is>
      </c>
      <c r="G29" s="7" t="inlineStr">
        <is>
          <t>INF-03 lulus</t>
        </is>
      </c>
      <c r="H29" s="7" t="inlineStr">
        <is>
          <t>1) Device Detail → Refresh/telusuri pohon.
2) Tunggu task COMPLETED.
3) Buka tab Parameter; ekspor/salin path penting (WiFi, WAN, optik, ManagementServer).</t>
        </is>
      </c>
      <c r="I29" s="7" t="inlineStr">
        <is>
          <t>Task COMPLETED; pohon parameter terisi (puluhan–ratusan parameter). Simpan path asli ke sheet 'Parameter TR-069'.</t>
        </is>
      </c>
      <c r="J29" s="7" t="inlineStr">
        <is>
          <t>Console: Device Detail &gt; Refresh
API: POST /api/v1/devices/{id}/refresh</t>
        </is>
      </c>
      <c r="K29" s="31" t="inlineStr"/>
      <c r="L29" s="35" t="inlineStr">
        <is>
          <t>Belum</t>
        </is>
      </c>
      <c r="M29" s="31" t="inlineStr"/>
      <c r="N29" s="31" t="inlineStr"/>
      <c r="O29" s="31" t="inlineStr"/>
      <c r="P29" s="35" t="inlineStr"/>
    </row>
    <row r="30" ht="56" customHeight="1">
      <c r="A30" s="32" t="inlineStr">
        <is>
          <t>RD-02</t>
        </is>
      </c>
      <c r="B30" s="37" t="inlineStr">
        <is>
          <t>C. Baca-saja</t>
        </is>
      </c>
      <c r="C30" s="7" t="inlineStr">
        <is>
          <t>GetParameterValues: info perangkat</t>
        </is>
      </c>
      <c r="D30" s="34" t="inlineStr">
        <is>
          <t>SE+NE</t>
        </is>
      </c>
      <c r="E30" s="34" t="inlineStr">
        <is>
          <t>P0</t>
        </is>
      </c>
      <c r="F30" s="34" t="inlineStr">
        <is>
          <t>Tidak ada</t>
        </is>
      </c>
      <c r="G30" s="7" t="inlineStr">
        <is>
          <t>RD-01 lulus</t>
        </is>
      </c>
      <c r="H30" s="7" t="inlineStr">
        <is>
          <t>1) Jalankan GetParameterValues untuk device.manufacturer, model_name, serial_number, hardware_version, software_version, uptime.
2) Isi kolom 'Nilai di ACS' pada sheet 'Parameter TR-069'.</t>
        </is>
      </c>
      <c r="I30" s="7" t="inlineStr">
        <is>
          <t>Nilai ACS = nilai di GUI ONT (manufacturer ZTE / model F609 / serial / hardware / software sesuai GUI ONT). Uptime masuk akal &amp; bertambah.</t>
        </is>
      </c>
      <c r="J30" s="7" t="inlineStr">
        <is>
          <t>Console: Device Detail &gt; Get Parameter
API: POST /api/v1/devices/{id}/tasks/get-parameter-values</t>
        </is>
      </c>
      <c r="K30" s="31" t="inlineStr"/>
      <c r="L30" s="35" t="inlineStr">
        <is>
          <t>Belum</t>
        </is>
      </c>
      <c r="M30" s="31" t="inlineStr"/>
      <c r="N30" s="31" t="inlineStr"/>
      <c r="O30" s="31" t="inlineStr"/>
      <c r="P30" s="35" t="inlineStr"/>
    </row>
    <row r="31" ht="56" customHeight="1">
      <c r="A31" s="32" t="inlineStr">
        <is>
          <t>RD-03</t>
        </is>
      </c>
      <c r="B31" s="37" t="inlineStr">
        <is>
          <t>C. Baca-saja</t>
        </is>
      </c>
      <c r="C31" s="7" t="inlineStr">
        <is>
          <t>GetParameterValues: WiFi SSID &amp; WAN</t>
        </is>
      </c>
      <c r="D31" s="34" t="inlineStr">
        <is>
          <t>SE+NE</t>
        </is>
      </c>
      <c r="E31" s="34" t="inlineStr">
        <is>
          <t>P1</t>
        </is>
      </c>
      <c r="F31" s="34" t="inlineStr">
        <is>
          <t>Tidak ada</t>
        </is>
      </c>
      <c r="G31" s="7" t="inlineStr">
        <is>
          <t>RD-01 lulus</t>
        </is>
      </c>
      <c r="H31" s="7" t="inlineStr">
        <is>
          <t>1) Baca wifi.ssid dan wan.pppoe.username (JANGAN catat password).
2) Bandingkan dengan GUI ONT. Catat apakah WLANConfiguration.1 = 2.4G atau 5G.</t>
        </is>
      </c>
      <c r="I31" s="7" t="inlineStr">
        <is>
          <t>SSID sama dengan GUI. Bila mode bridge tanpa PPPoE → Fault 9005 untuk wan.pppoe.* itu NORMAL (catat).</t>
        </is>
      </c>
      <c r="J31" s="7" t="inlineStr">
        <is>
          <t>Console: Device Detail &gt; Parameter</t>
        </is>
      </c>
      <c r="K31" s="31" t="inlineStr"/>
      <c r="L31" s="35" t="inlineStr">
        <is>
          <t>Belum</t>
        </is>
      </c>
      <c r="M31" s="31" t="inlineStr"/>
      <c r="N31" s="31" t="inlineStr"/>
      <c r="O31" s="31" t="inlineStr"/>
      <c r="P31" s="35" t="inlineStr"/>
    </row>
    <row r="32" ht="43" customHeight="1">
      <c r="A32" s="32" t="inlineStr">
        <is>
          <t>RD-04</t>
        </is>
      </c>
      <c r="B32" s="37" t="inlineStr">
        <is>
          <t>C. Baca-saja</t>
        </is>
      </c>
      <c r="C32" s="7" t="inlineStr">
        <is>
          <t>Path tidak ada → Fault 9005, tidak diulang</t>
        </is>
      </c>
      <c r="D32" s="34" t="inlineStr">
        <is>
          <t>SE</t>
        </is>
      </c>
      <c r="E32" s="34" t="inlineStr">
        <is>
          <t>P1</t>
        </is>
      </c>
      <c r="F32" s="34" t="inlineStr">
        <is>
          <t>Tidak ada</t>
        </is>
      </c>
      <c r="G32" s="7" t="inlineStr">
        <is>
          <t>RD-01 lulus</t>
        </is>
      </c>
      <c r="H32" s="7" t="inlineStr">
        <is>
          <t>1) Kirim GetParameterValues untuk path palsu: InternetGatewayDevice.X_Tidak_Ada.Param (atau Device.X_Tidak_Ada).
2) Lihat status task.</t>
        </is>
      </c>
      <c r="I32" s="7" t="inlineStr">
        <is>
          <t>Task FAILED permanen dengan Fault 9005; hanya 1 percobaan (tidak retry berulang).</t>
        </is>
      </c>
      <c r="J32" s="7" t="inlineStr">
        <is>
          <t>Console: Tasks</t>
        </is>
      </c>
      <c r="K32" s="31" t="inlineStr"/>
      <c r="L32" s="35" t="inlineStr">
        <is>
          <t>Belum</t>
        </is>
      </c>
      <c r="M32" s="31" t="inlineStr"/>
      <c r="N32" s="31" t="inlineStr"/>
      <c r="O32" s="31" t="inlineStr"/>
      <c r="P32" s="35" t="inlineStr"/>
    </row>
    <row r="33" ht="69" customHeight="1">
      <c r="A33" s="32" t="inlineStr">
        <is>
          <t>RD-05</t>
        </is>
      </c>
      <c r="B33" s="37" t="inlineStr">
        <is>
          <t>C. Baca-saja</t>
        </is>
      </c>
      <c r="C33" s="7" t="inlineStr">
        <is>
          <t>Redaman optik: bandingkan atau catat 'belum dipetakan'</t>
        </is>
      </c>
      <c r="D33" s="34" t="inlineStr">
        <is>
          <t>NE</t>
        </is>
      </c>
      <c r="E33" s="34" t="inlineStr">
        <is>
          <t>P1</t>
        </is>
      </c>
      <c r="F33" s="34" t="inlineStr">
        <is>
          <t>Tidak ada</t>
        </is>
      </c>
      <c r="G33" s="7" t="inlineStr">
        <is>
          <t>RD-01 lulus</t>
        </is>
      </c>
      <c r="H33" s="7" t="inlineStr">
        <is>
          <t>1) Buka tab Redaman Optik di Device Detail.
2) Bila kosong: cari di pohon (RD-01) path optik ZTE (mis. X_ZTE-COM_... / Optical).
3) Bandingkan dengan GUI ONT (Status &gt; PON, TX/RX dBm).</t>
        </is>
      </c>
      <c r="I33" s="7" t="inlineStr">
        <is>
          <t>Kosong = DIHARAPKAN (mapping TR-098 ZTE belum ada — jangan menebak). Bila path ditemukan: catat di sheet Parameter untuk dijadikan mapping data (vendor_parameter_mappings, value_scale sesuai satuan).</t>
        </is>
      </c>
      <c r="J33" s="7" t="inlineStr">
        <is>
          <t>Console: Device Detail &gt; Redaman Optik</t>
        </is>
      </c>
      <c r="K33" s="31" t="inlineStr"/>
      <c r="L33" s="35" t="inlineStr">
        <is>
          <t>Belum</t>
        </is>
      </c>
      <c r="M33" s="31" t="inlineStr"/>
      <c r="N33" s="31" t="inlineStr"/>
      <c r="O33" s="31" t="inlineStr"/>
      <c r="P33" s="35" t="inlineStr"/>
    </row>
    <row r="34" ht="43" customHeight="1">
      <c r="A34" s="32" t="inlineStr">
        <is>
          <t>RD-06</t>
        </is>
      </c>
      <c r="B34" s="37" t="inlineStr">
        <is>
          <t>C. Baca-saja</t>
        </is>
      </c>
      <c r="C34" s="7" t="inlineStr">
        <is>
          <t>Snapshot konfigurasi</t>
        </is>
      </c>
      <c r="D34" s="34" t="inlineStr">
        <is>
          <t>SE</t>
        </is>
      </c>
      <c r="E34" s="34" t="inlineStr">
        <is>
          <t>P2</t>
        </is>
      </c>
      <c r="F34" s="34" t="inlineStr">
        <is>
          <t>Tidak ada</t>
        </is>
      </c>
      <c r="G34" s="7" t="inlineStr">
        <is>
          <t>RD-01 lulus</t>
        </is>
      </c>
      <c r="H34" s="7" t="inlineStr">
        <is>
          <t>1) Device Detail → ambil Config Snapshot.
2) Ambil lagi setelah ada perubahan (opsional) dan bandingkan.</t>
        </is>
      </c>
      <c r="I34" s="7" t="inlineStr">
        <is>
          <t>Snapshot tersimpan di riwayat; nilai rahasia tidak tampil plaintext.</t>
        </is>
      </c>
      <c r="J34" s="7" t="inlineStr">
        <is>
          <t>API: POST /api/v1/devices/{id}/config-snapshots</t>
        </is>
      </c>
      <c r="K34" s="31" t="inlineStr"/>
      <c r="L34" s="35" t="inlineStr">
        <is>
          <t>Belum</t>
        </is>
      </c>
      <c r="M34" s="31" t="inlineStr"/>
      <c r="N34" s="31" t="inlineStr"/>
      <c r="O34" s="31" t="inlineStr"/>
      <c r="P34" s="35" t="inlineStr"/>
    </row>
    <row r="35" ht="56" customHeight="1">
      <c r="A35" s="32" t="inlineStr">
        <is>
          <t>RD-07</t>
        </is>
      </c>
      <c r="B35" s="37" t="inlineStr">
        <is>
          <t>C. Baca-saja</t>
        </is>
      </c>
      <c r="C35" s="7" t="inlineStr">
        <is>
          <t>Diagnostik Ping (mengisi parameter diagnostik)</t>
        </is>
      </c>
      <c r="D35" s="34" t="inlineStr">
        <is>
          <t>NE</t>
        </is>
      </c>
      <c r="E35" s="34" t="inlineStr">
        <is>
          <t>P2</t>
        </is>
      </c>
      <c r="F35" s="34" t="inlineStr">
        <is>
          <t>Ringan</t>
        </is>
      </c>
      <c r="G35" s="7" t="inlineStr">
        <is>
          <t>Pemilik ONT setuju; RD-01 lulus</t>
        </is>
      </c>
      <c r="H35" s="7" t="inlineStr">
        <is>
          <t>1) Device Detail → Diagnostik → PING ke 8.8.8.8 (hitungan kecil, mis. 4).
2) Tunggu event '8 DIAGNOSTICS COMPLETE'.
3) Lihat hasil (min/avg/max RTT, sukses/gagal).</t>
        </is>
      </c>
      <c r="I35" s="7" t="inlineStr">
        <is>
          <t>Hasil terstruktur muncul; event 8 tercatat. Bila ONT tak mendukung → Fault 9005/9000 (catat, bukan bug ACS).</t>
        </is>
      </c>
      <c r="J35" s="7" t="inlineStr">
        <is>
          <t>Console: Device Detail &gt; Diagnostik</t>
        </is>
      </c>
      <c r="K35" s="31" t="inlineStr"/>
      <c r="L35" s="35" t="inlineStr">
        <is>
          <t>Belum</t>
        </is>
      </c>
      <c r="M35" s="31" t="inlineStr"/>
      <c r="N35" s="31" t="inlineStr"/>
      <c r="O35" s="31" t="inlineStr"/>
      <c r="P35" s="35" t="inlineStr"/>
    </row>
    <row r="36" ht="95" customHeight="1">
      <c r="A36" s="32" t="inlineStr">
        <is>
          <t>CR-01</t>
        </is>
      </c>
      <c r="B36" s="38" t="inlineStr">
        <is>
          <t>D. Connection Request</t>
        </is>
      </c>
      <c r="C36" s="7" t="inlineStr">
        <is>
          <t>Connection Request URL &amp; kredensial diisi</t>
        </is>
      </c>
      <c r="D36" s="34" t="inlineStr">
        <is>
          <t>SE+NE</t>
        </is>
      </c>
      <c r="E36" s="34" t="inlineStr">
        <is>
          <t>P0</t>
        </is>
      </c>
      <c r="F36" s="34" t="inlineStr">
        <is>
          <t>Tidak ada</t>
        </is>
      </c>
      <c r="G36" s="7" t="inlineStr">
        <is>
          <t>INF-08 lulus</t>
        </is>
      </c>
      <c r="H36" s="7" t="inlineStr">
        <is>
          <t>1) Isi connection_request_username/password di Device Detail sama dgn setelan TR-069 ONT (INF-02; default username CR tampil 'acs').
2) Simpan.
3) Catatan ONT ini: CR URL di GUI tampil http://0.0.0.0:58000/... → bila di Inform CR URL berisi 0.0.0.0 / IP ≠ IP sumber, ACS tidak menyimpannya (CR-05).</t>
        </is>
      </c>
      <c r="I36" s="7" t="inlineStr">
        <is>
          <t>Tersimpan; password tidak tampil plaintext setelah disimpan.</t>
        </is>
      </c>
      <c r="J36" s="7" t="inlineStr">
        <is>
          <t>API: PATCH /api/v1/devices/{id}</t>
        </is>
      </c>
      <c r="K36" s="31" t="inlineStr"/>
      <c r="L36" s="35" t="inlineStr">
        <is>
          <t>Belum</t>
        </is>
      </c>
      <c r="M36" s="31" t="inlineStr"/>
      <c r="N36" s="31" t="inlineStr"/>
      <c r="O36" s="31" t="inlineStr"/>
      <c r="P36" s="35" t="inlineStr"/>
    </row>
    <row r="37" ht="43" customHeight="1">
      <c r="A37" s="32" t="inlineStr">
        <is>
          <t>CR-02</t>
        </is>
      </c>
      <c r="B37" s="38" t="inlineStr">
        <is>
          <t>D. Connection Request</t>
        </is>
      </c>
      <c r="C37" s="7" t="inlineStr">
        <is>
          <t>Connection Request ACS → ONT (HTTP Digest)</t>
        </is>
      </c>
      <c r="D37" s="34" t="inlineStr">
        <is>
          <t>SE+NE</t>
        </is>
      </c>
      <c r="E37" s="34" t="inlineStr">
        <is>
          <t>P0</t>
        </is>
      </c>
      <c r="F37" s="34" t="inlineStr">
        <is>
          <t>Tidak ada</t>
        </is>
      </c>
      <c r="G37" s="7" t="inlineStr">
        <is>
          <t>CR-01 lulus; port CR ONT terjangkau</t>
        </is>
      </c>
      <c r="H37" s="7" t="inlineStr">
        <is>
          <t>1) Device Detail → tombol Connection Request.
2) Amati Histori Event ≤ 10 detik.</t>
        </is>
      </c>
      <c r="I37" s="7" t="inlineStr">
        <is>
          <t>ONT langsung Inform dengan event '6 CONNECTION REQUEST'; tidak perlu menunggu Periodic Inform.</t>
        </is>
      </c>
      <c r="J37" s="7" t="inlineStr">
        <is>
          <t>Console: Device Detail
ACS menjawab tantangan Digest otomatis (SHA-256 baru teruji via verifier sendiri)</t>
        </is>
      </c>
      <c r="K37" s="31" t="inlineStr"/>
      <c r="L37" s="35" t="inlineStr">
        <is>
          <t>Belum</t>
        </is>
      </c>
      <c r="M37" s="31" t="inlineStr"/>
      <c r="N37" s="31" t="inlineStr"/>
      <c r="O37" s="31" t="inlineStr"/>
      <c r="P37" s="35" t="inlineStr"/>
    </row>
    <row r="38" ht="43" customHeight="1">
      <c r="A38" s="32" t="inlineStr">
        <is>
          <t>CR-03</t>
        </is>
      </c>
      <c r="B38" s="38" t="inlineStr">
        <is>
          <t>D. Connection Request</t>
        </is>
      </c>
      <c r="C38" s="7" t="inlineStr">
        <is>
          <t>Password CR salah ditolak</t>
        </is>
      </c>
      <c r="D38" s="34" t="inlineStr">
        <is>
          <t>SE+NE</t>
        </is>
      </c>
      <c r="E38" s="34" t="inlineStr">
        <is>
          <t>P2</t>
        </is>
      </c>
      <c r="F38" s="34" t="inlineStr">
        <is>
          <t>Tidak ada</t>
        </is>
      </c>
      <c r="G38" s="7" t="inlineStr">
        <is>
          <t>CR-02 lulus</t>
        </is>
      </c>
      <c r="H38" s="7" t="inlineStr">
        <is>
          <t>1) Ubah password CR di ACS menjadi salah.
2) Trigger Connection Request.
3) Kembalikan password benar.</t>
        </is>
      </c>
      <c r="I38" s="7" t="inlineStr">
        <is>
          <t>ONT membalas 401, TIDAK ada Inform; UI menampilkan 'device menolak connection request'.</t>
        </is>
      </c>
      <c r="J38" s="7" t="inlineStr">
        <is>
          <t>Console: Device Detail</t>
        </is>
      </c>
      <c r="K38" s="31" t="inlineStr"/>
      <c r="L38" s="35" t="inlineStr">
        <is>
          <t>Belum</t>
        </is>
      </c>
      <c r="M38" s="31" t="inlineStr"/>
      <c r="N38" s="31" t="inlineStr"/>
      <c r="O38" s="31" t="inlineStr"/>
      <c r="P38" s="35" t="inlineStr"/>
    </row>
    <row r="39" ht="43" customHeight="1">
      <c r="A39" s="32" t="inlineStr">
        <is>
          <t>CR-04</t>
        </is>
      </c>
      <c r="B39" s="38" t="inlineStr">
        <is>
          <t>D. Connection Request</t>
        </is>
      </c>
      <c r="C39" s="7" t="inlineStr">
        <is>
          <t>Task antre terkirim pada Inform berikutnya (tanpa CR)</t>
        </is>
      </c>
      <c r="D39" s="34" t="inlineStr">
        <is>
          <t>SE</t>
        </is>
      </c>
      <c r="E39" s="34" t="inlineStr">
        <is>
          <t>P1</t>
        </is>
      </c>
      <c r="F39" s="34" t="inlineStr">
        <is>
          <t>Tidak ada</t>
        </is>
      </c>
      <c r="G39" s="7" t="inlineStr">
        <is>
          <t>RD-02 lulus</t>
        </is>
      </c>
      <c r="H39" s="7" t="inlineStr">
        <is>
          <t>1) Antre GetParameterValues (baca-saja) saat tidak memicu CR.
2) Tunggu Periodic Inform berikut.</t>
        </is>
      </c>
      <c r="I39" s="7" t="inlineStr">
        <is>
          <t>Task PENDING → dikirim dalam sesi Inform berikutnya → COMPLETED. Tidak ada task tertahan.</t>
        </is>
      </c>
      <c r="J39" s="7" t="inlineStr">
        <is>
          <t>Console: Tasks</t>
        </is>
      </c>
      <c r="K39" s="31" t="inlineStr"/>
      <c r="L39" s="35" t="inlineStr">
        <is>
          <t>Belum</t>
        </is>
      </c>
      <c r="M39" s="31" t="inlineStr"/>
      <c r="N39" s="31" t="inlineStr"/>
      <c r="O39" s="31" t="inlineStr"/>
      <c r="P39" s="35" t="inlineStr"/>
    </row>
    <row r="40" ht="56" customHeight="1">
      <c r="A40" s="32" t="inlineStr">
        <is>
          <t>CR-05</t>
        </is>
      </c>
      <c r="B40" s="38" t="inlineStr">
        <is>
          <t>D. Connection Request</t>
        </is>
      </c>
      <c r="C40" s="7" t="inlineStr">
        <is>
          <t>CR URL tidak tersimpan (Docker NAT) → isi manual</t>
        </is>
      </c>
      <c r="D40" s="34" t="inlineStr">
        <is>
          <t>SE</t>
        </is>
      </c>
      <c r="E40" s="34" t="inlineStr">
        <is>
          <t>P1</t>
        </is>
      </c>
      <c r="F40" s="34" t="inlineStr">
        <is>
          <t>Tidak ada</t>
        </is>
      </c>
      <c r="G40" s="7" t="inlineStr">
        <is>
          <t>Hanya jika INF-08 menunjukkan CR URL kosong/172.x</t>
        </is>
      </c>
      <c r="H40" s="7" t="inlineStr">
        <is>
          <t>1) PATCH /devices/{id} isi connection_request_url = http://&lt;IP-WAN-ONT&gt;:&lt;port&gt;/&lt;path&gt; (dari parameter ManagementServer.ConnectionRequestURL di pohon).
2) Ulangi CR-02.</t>
        </is>
      </c>
      <c r="I40" s="7" t="inlineStr">
        <is>
          <t>Connection Request berhasil dengan URL manual. Catat sebagai temuan 'konfigurasi' (bukan bug ONT).</t>
        </is>
      </c>
      <c r="J40" s="7" t="inlineStr">
        <is>
          <t>Jalur alternatif: jalankan acsd.exe native agar IP sumber asli terbaca.</t>
        </is>
      </c>
      <c r="K40" s="31" t="inlineStr"/>
      <c r="L40" s="35" t="inlineStr">
        <is>
          <t>Belum</t>
        </is>
      </c>
      <c r="M40" s="31" t="inlineStr"/>
      <c r="N40" s="31" t="inlineStr"/>
      <c r="O40" s="31" t="inlineStr"/>
      <c r="P40" s="35" t="inlineStr"/>
    </row>
    <row r="41" ht="43" customHeight="1">
      <c r="A41" s="32" t="inlineStr">
        <is>
          <t>CR-06</t>
        </is>
      </c>
      <c r="B41" s="38" t="inlineStr">
        <is>
          <t>D. Connection Request</t>
        </is>
      </c>
      <c r="C41" s="7" t="inlineStr">
        <is>
          <t>Fallback UDP/STUN (TR-111) bila ONT di balik NAT</t>
        </is>
      </c>
      <c r="D41" s="34" t="inlineStr">
        <is>
          <t>NE</t>
        </is>
      </c>
      <c r="E41" s="34" t="inlineStr">
        <is>
          <t>P2</t>
        </is>
      </c>
      <c r="F41" s="34" t="inlineStr">
        <is>
          <t>Tidak ada</t>
        </is>
      </c>
      <c r="G41" s="7" t="inlineStr">
        <is>
          <t>Hanya jika CR-02 gagal dan ONT mengirim UDPConnectionRequestAddress</t>
        </is>
      </c>
      <c r="H41" s="7" t="inlineStr">
        <is>
          <t>1) Periksa Inform: ada UDPConnectionRequestAddress?
2) Trigger CR; amati fallback UDP.</t>
        </is>
      </c>
      <c r="I41" s="7" t="inlineStr">
        <is>
          <t>Belum teruji lapangan — catat hasil apa adanya (lihat Batasan Diketahui).</t>
        </is>
      </c>
      <c r="J41" s="7" t="inlineStr">
        <is>
          <t>Log acsd; capture jaringan bila perlu</t>
        </is>
      </c>
      <c r="K41" s="31" t="inlineStr"/>
      <c r="L41" s="35" t="inlineStr">
        <is>
          <t>Belum</t>
        </is>
      </c>
      <c r="M41" s="31" t="inlineStr"/>
      <c r="N41" s="31" t="inlineStr"/>
      <c r="O41" s="31" t="inlineStr"/>
      <c r="P41" s="35" t="inlineStr"/>
    </row>
    <row r="42" ht="69" customHeight="1">
      <c r="A42" s="32" t="inlineStr">
        <is>
          <t>WR-01</t>
        </is>
      </c>
      <c r="B42" s="39" t="inlineStr">
        <is>
          <t>E. Tulis (hati-hati)</t>
        </is>
      </c>
      <c r="C42" s="7" t="inlineStr">
        <is>
          <t>Ubah SSID WiFi (lewat Provisioning Profile atau Set Parameter)</t>
        </is>
      </c>
      <c r="D42" s="34" t="inlineStr">
        <is>
          <t>SE+NE</t>
        </is>
      </c>
      <c r="E42" s="34" t="inlineStr">
        <is>
          <t>P1</t>
        </is>
      </c>
      <c r="F42" s="34" t="inlineStr">
        <is>
          <t>Ringan</t>
        </is>
      </c>
      <c r="G42" s="7" t="inlineStr">
        <is>
          <t>Pemilik ONT SETUJU; catat SSID asli; RD-03 lulus</t>
        </is>
      </c>
      <c r="H42" s="7" t="inlineStr">
        <is>
          <t>1) Catat SSID asli &amp; kunci WiFi (di luar workbook ini).
2) Buat Provisioning Profile kecil (wifi.ssid saja) → apply, ATAU Set Parameter wifi.ssid = 'ACS-UAT-TEST'.
3) Tunggu task COMPLETED.
4) Cek SSID di GUI ONT / daftar WiFi HP.</t>
        </is>
      </c>
      <c r="I42" s="7" t="inlineStr">
        <is>
          <t>Task COMPLETED DAN SSID benar-benar berubah di ONT (diverifikasi dari sisi ONT, bukan hanya status task). Klien WiFi akan terputus sebentar.</t>
        </is>
      </c>
      <c r="J42" s="7" t="inlineStr">
        <is>
          <t>Console: Provisioning / Device Detail
Bila 'COMPLETED' tapi tak berubah → butuh reboot/apply atau path salah (catat)</t>
        </is>
      </c>
      <c r="K42" s="31" t="inlineStr"/>
      <c r="L42" s="35" t="inlineStr">
        <is>
          <t>Belum</t>
        </is>
      </c>
      <c r="M42" s="31" t="inlineStr"/>
      <c r="N42" s="31" t="inlineStr"/>
      <c r="O42" s="31" t="inlineStr"/>
      <c r="P42" s="35" t="inlineStr"/>
    </row>
    <row r="43" ht="30" customHeight="1">
      <c r="A43" s="32" t="inlineStr">
        <is>
          <t>WR-02</t>
        </is>
      </c>
      <c r="B43" s="39" t="inlineStr">
        <is>
          <t>E. Tulis (hati-hati)</t>
        </is>
      </c>
      <c r="C43" s="7" t="inlineStr">
        <is>
          <t>Kembalikan SSID asli (rollback)</t>
        </is>
      </c>
      <c r="D43" s="34" t="inlineStr">
        <is>
          <t>SE+NE</t>
        </is>
      </c>
      <c r="E43" s="34" t="inlineStr">
        <is>
          <t>P0</t>
        </is>
      </c>
      <c r="F43" s="34" t="inlineStr">
        <is>
          <t>Ringan</t>
        </is>
      </c>
      <c r="G43" s="7" t="inlineStr">
        <is>
          <t>WR-01 dijalankan</t>
        </is>
      </c>
      <c r="H43" s="7" t="inlineStr">
        <is>
          <t>1) Set wifi.ssid kembali ke nilai semula.
2) Verifikasi di GUI ONT &amp; HP.</t>
        </is>
      </c>
      <c r="I43" s="7" t="inlineStr">
        <is>
          <t>SSID asli pulih; Internet rumah normal.</t>
        </is>
      </c>
      <c r="J43" s="7" t="inlineStr">
        <is>
          <t>Console / GUI ONT</t>
        </is>
      </c>
      <c r="K43" s="31" t="inlineStr"/>
      <c r="L43" s="35" t="inlineStr">
        <is>
          <t>Belum</t>
        </is>
      </c>
      <c r="M43" s="31" t="inlineStr"/>
      <c r="N43" s="31" t="inlineStr"/>
      <c r="O43" s="31" t="inlineStr"/>
      <c r="P43" s="35" t="inlineStr"/>
    </row>
    <row r="44" ht="43" customHeight="1">
      <c r="A44" s="32" t="inlineStr">
        <is>
          <t>WR-03</t>
        </is>
      </c>
      <c r="B44" s="39" t="inlineStr">
        <is>
          <t>E. Tulis (hati-hati)</t>
        </is>
      </c>
      <c r="C44" s="7" t="inlineStr">
        <is>
          <t>Ubah interval Periodic Inform lalu kembalikan</t>
        </is>
      </c>
      <c r="D44" s="34" t="inlineStr">
        <is>
          <t>SE</t>
        </is>
      </c>
      <c r="E44" s="34" t="inlineStr">
        <is>
          <t>P2</t>
        </is>
      </c>
      <c r="F44" s="34" t="inlineStr">
        <is>
          <t>Ringan</t>
        </is>
      </c>
      <c r="G44" s="7" t="inlineStr">
        <is>
          <t>Pemilik setuju</t>
        </is>
      </c>
      <c r="H44" s="7" t="inlineStr">
        <is>
          <t>1) Set device.periodic_inform_interval = 120.
2) Amati 2 Periodic Inform berikutnya.
3) Kembalikan ke 300.</t>
        </is>
      </c>
      <c r="I44" s="7" t="inlineStr">
        <is>
          <t>Interval berubah di ONT dan jarak Inform mengikuti; nilai kembali ke 300.</t>
        </is>
      </c>
      <c r="J44" s="7" t="inlineStr">
        <is>
          <t>Console: Device Detail &gt; Histori Event</t>
        </is>
      </c>
      <c r="K44" s="31" t="inlineStr"/>
      <c r="L44" s="35" t="inlineStr">
        <is>
          <t>Belum</t>
        </is>
      </c>
      <c r="M44" s="31" t="inlineStr"/>
      <c r="N44" s="31" t="inlineStr"/>
      <c r="O44" s="31" t="inlineStr"/>
      <c r="P44" s="35" t="inlineStr"/>
    </row>
    <row r="45" ht="43" customHeight="1">
      <c r="A45" s="32" t="inlineStr">
        <is>
          <t>WR-04</t>
        </is>
      </c>
      <c r="B45" s="39" t="inlineStr">
        <is>
          <t>E. Tulis (hati-hati)</t>
        </is>
      </c>
      <c r="C45" s="7" t="inlineStr">
        <is>
          <t>Reboot lewat ACS</t>
        </is>
      </c>
      <c r="D45" s="34" t="inlineStr">
        <is>
          <t>SE+NE</t>
        </is>
      </c>
      <c r="E45" s="34" t="inlineStr">
        <is>
          <t>P1</t>
        </is>
      </c>
      <c r="F45" s="34" t="inlineStr">
        <is>
          <t>Putus layanan</t>
        </is>
      </c>
      <c r="G45" s="7" t="inlineStr">
        <is>
          <t>Pemilik setuju (Internet putus ±2–3 menit); hotspot siap</t>
        </is>
      </c>
      <c r="H45" s="7" t="inlineStr">
        <is>
          <t>1) Device Detail → Reboot.
2) Pantau ONT: lampu &amp; Internet.
3) Tunggu Inform baru.</t>
        </is>
      </c>
      <c r="I45" s="7" t="inlineStr">
        <is>
          <t>Task COMPLETED (ONT ACK Reboot); ONT restart; muncul Inform event '1 BOOT' setelah nyala.</t>
        </is>
      </c>
      <c r="J45" s="7" t="inlineStr">
        <is>
          <t>Console: Device Detail &gt; Histori Event</t>
        </is>
      </c>
      <c r="K45" s="31" t="inlineStr"/>
      <c r="L45" s="35" t="inlineStr">
        <is>
          <t>Belum</t>
        </is>
      </c>
      <c r="M45" s="31" t="inlineStr"/>
      <c r="N45" s="31" t="inlineStr"/>
      <c r="O45" s="31" t="inlineStr"/>
      <c r="P45" s="35" t="inlineStr"/>
    </row>
    <row r="46" ht="56" customHeight="1">
      <c r="A46" s="32" t="inlineStr">
        <is>
          <t>WR-05</t>
        </is>
      </c>
      <c r="B46" s="39" t="inlineStr">
        <is>
          <t>E. Tulis (hati-hati)</t>
        </is>
      </c>
      <c r="C46" s="7" t="inlineStr">
        <is>
          <t>Parameter butuh tipe (Fault 9006/9007)</t>
        </is>
      </c>
      <c r="D46" s="34" t="inlineStr">
        <is>
          <t>SE</t>
        </is>
      </c>
      <c r="E46" s="34" t="inlineStr">
        <is>
          <t>P2</t>
        </is>
      </c>
      <c r="F46" s="34" t="inlineStr">
        <is>
          <t>Ringan</t>
        </is>
      </c>
      <c r="G46" s="7" t="inlineStr">
        <is>
          <t>Hanya jika Set boolean/angka dicoba</t>
        </is>
      </c>
      <c r="H46" s="7" t="inlineStr">
        <is>
          <t>1) Bila Set parameter boolean/unsignedInt ditolak dengan Fault 9006/9007, catat parameter + model + firmware.</t>
        </is>
      </c>
      <c r="I46" s="7" t="inlineStr">
        <is>
          <t>Diketahui: ACS mengirim semua nilai Set sebagai xsd:string; firmware ketat bisa menolak. Catat sebagai temuan (perbaikan: tipe per-parameter), bukan kegagalan ONT.</t>
        </is>
      </c>
      <c r="J46" s="7" t="inlineStr">
        <is>
          <t>Console: Tasks (pesan fault)</t>
        </is>
      </c>
      <c r="K46" s="31" t="inlineStr"/>
      <c r="L46" s="35" t="inlineStr">
        <is>
          <t>Belum</t>
        </is>
      </c>
      <c r="M46" s="31" t="inlineStr"/>
      <c r="N46" s="31" t="inlineStr"/>
      <c r="O46" s="31" t="inlineStr"/>
      <c r="P46" s="35" t="inlineStr"/>
    </row>
    <row r="47" ht="43" customHeight="1">
      <c r="A47" s="32" t="inlineStr">
        <is>
          <t>SEC-01</t>
        </is>
      </c>
      <c r="B47" s="40" t="inlineStr">
        <is>
          <t>F. Keamanan &amp; Isolasi</t>
        </is>
      </c>
      <c r="C47" s="7" t="inlineStr">
        <is>
          <t>Isolasi tenant: device pilot tak terlihat tenant lain</t>
        </is>
      </c>
      <c r="D47" s="34" t="inlineStr">
        <is>
          <t>SE</t>
        </is>
      </c>
      <c r="E47" s="34" t="inlineStr">
        <is>
          <t>P0</t>
        </is>
      </c>
      <c r="F47" s="34" t="inlineStr">
        <is>
          <t>Tidak ada</t>
        </is>
      </c>
      <c r="G47" s="7" t="inlineStr">
        <is>
          <t>Ada akun ADMIN di tenant lain</t>
        </is>
      </c>
      <c r="H47" s="7" t="inlineStr">
        <is>
          <t>1) Login sebagai ADMIN tenant lain.
2) Buka Devices; coba akses langsung /devices/&lt;id device ONT&gt;.</t>
        </is>
      </c>
      <c r="I47" s="7" t="inlineStr">
        <is>
          <t>0 device ONT terlihat; akses langsung → 403/404.</t>
        </is>
      </c>
      <c r="J47" s="7" t="inlineStr">
        <is>
          <t>Console + API GET /api/v1/devices</t>
        </is>
      </c>
      <c r="K47" s="31" t="inlineStr"/>
      <c r="L47" s="35" t="inlineStr">
        <is>
          <t>Belum</t>
        </is>
      </c>
      <c r="M47" s="31" t="inlineStr"/>
      <c r="N47" s="31" t="inlineStr"/>
      <c r="O47" s="31" t="inlineStr"/>
      <c r="P47" s="35" t="inlineStr"/>
    </row>
    <row r="48" ht="30" customHeight="1">
      <c r="A48" s="32" t="inlineStr">
        <is>
          <t>SEC-02</t>
        </is>
      </c>
      <c r="B48" s="40" t="inlineStr">
        <is>
          <t>F. Keamanan &amp; Isolasi</t>
        </is>
      </c>
      <c r="C48" s="7" t="inlineStr">
        <is>
          <t>Kredensial tidak muncul plaintext di log/API</t>
        </is>
      </c>
      <c r="D48" s="34" t="inlineStr">
        <is>
          <t>SE</t>
        </is>
      </c>
      <c r="E48" s="34" t="inlineStr">
        <is>
          <t>P0</t>
        </is>
      </c>
      <c r="F48" s="34" t="inlineStr">
        <is>
          <t>Tidak ada</t>
        </is>
      </c>
      <c r="G48" s="7" t="inlineStr">
        <is>
          <t>Sesi uji berjalan</t>
        </is>
      </c>
      <c r="H48" s="7" t="inlineStr">
        <is>
          <t>1) Cari kata password/secret di log acsd selama sesi.
2) Periksa respons API device (connection_request_password).</t>
        </is>
      </c>
      <c r="I48" s="7" t="inlineStr">
        <is>
          <t>Tidak ada kredensial plaintext di log; API tidak mengembalikan password.</t>
        </is>
      </c>
      <c r="J48" s="7" t="inlineStr">
        <is>
          <t>docker logs acs-acsd-1 --since 1h | findstr /i "password secret"</t>
        </is>
      </c>
      <c r="K48" s="31" t="inlineStr"/>
      <c r="L48" s="35" t="inlineStr">
        <is>
          <t>Belum</t>
        </is>
      </c>
      <c r="M48" s="31" t="inlineStr"/>
      <c r="N48" s="31" t="inlineStr"/>
      <c r="O48" s="31" t="inlineStr"/>
      <c r="P48" s="35" t="inlineStr"/>
    </row>
    <row r="49" ht="30" customHeight="1">
      <c r="A49" s="32" t="inlineStr">
        <is>
          <t>SEC-03</t>
        </is>
      </c>
      <c r="B49" s="40" t="inlineStr">
        <is>
          <t>F. Keamanan &amp; Isolasi</t>
        </is>
      </c>
      <c r="C49" s="7" t="inlineStr">
        <is>
          <t>REST tanpa token ditolak</t>
        </is>
      </c>
      <c r="D49" s="34" t="inlineStr">
        <is>
          <t>SE</t>
        </is>
      </c>
      <c r="E49" s="34" t="inlineStr">
        <is>
          <t>P1</t>
        </is>
      </c>
      <c r="F49" s="34" t="inlineStr">
        <is>
          <t>Tidak ada</t>
        </is>
      </c>
      <c r="G49" s="7" t="inlineStr">
        <is>
          <t>—</t>
        </is>
      </c>
      <c r="H49" s="7" t="inlineStr">
        <is>
          <t>1) GET /api/v1/devices tanpa header Authorization.</t>
        </is>
      </c>
      <c r="I49" s="7" t="inlineStr">
        <is>
          <t>HTTP 401.</t>
        </is>
      </c>
      <c r="J49" s="7" t="inlineStr">
        <is>
          <t>curl -i http://localhost:18080/api/v1/devices</t>
        </is>
      </c>
      <c r="K49" s="31" t="inlineStr"/>
      <c r="L49" s="35" t="inlineStr">
        <is>
          <t>Belum</t>
        </is>
      </c>
      <c r="M49" s="31" t="inlineStr"/>
      <c r="N49" s="31" t="inlineStr"/>
      <c r="O49" s="31" t="inlineStr"/>
      <c r="P49" s="35" t="inlineStr"/>
    </row>
    <row r="50" ht="56" customHeight="1">
      <c r="A50" s="32" t="inlineStr">
        <is>
          <t>SEC-04</t>
        </is>
      </c>
      <c r="B50" s="40" t="inlineStr">
        <is>
          <t>F. Keamanan &amp; Isolasi</t>
        </is>
      </c>
      <c r="C50" s="7" t="inlineStr">
        <is>
          <t>Rate limit CWMP tidak menolak ONT tunggal</t>
        </is>
      </c>
      <c r="D50" s="34" t="inlineStr">
        <is>
          <t>SE</t>
        </is>
      </c>
      <c r="E50" s="34" t="inlineStr">
        <is>
          <t>P1</t>
        </is>
      </c>
      <c r="F50" s="34" t="inlineStr">
        <is>
          <t>Tidak ada</t>
        </is>
      </c>
      <c r="G50" s="7" t="inlineStr">
        <is>
          <t>Sesi Inform berjalan</t>
        </is>
      </c>
      <c r="H50" s="7" t="inlineStr">
        <is>
          <t>1) Selama INF-10, periksa tidak ada HTTP 429 pada Inform ONT.
2) Ingat: limit 5 req/s per IP; semua CPE di balik NAT Docker tampak satu IP.</t>
        </is>
      </c>
      <c r="I50" s="7" t="inlineStr">
        <is>
          <t>Tidak ada 429 untuk 1 ONT. Bila menambah unit, nyalakan bergantian (jeda ±10 dtk).</t>
        </is>
      </c>
      <c r="J50" s="7" t="inlineStr">
        <is>
          <t>Log acsd / log ONT</t>
        </is>
      </c>
      <c r="K50" s="31" t="inlineStr"/>
      <c r="L50" s="35" t="inlineStr">
        <is>
          <t>Belum</t>
        </is>
      </c>
      <c r="M50" s="31" t="inlineStr"/>
      <c r="N50" s="31" t="inlineStr"/>
      <c r="O50" s="31" t="inlineStr"/>
      <c r="P50" s="35" t="inlineStr"/>
    </row>
    <row r="51" ht="30" customHeight="1">
      <c r="A51" s="32" t="inlineStr">
        <is>
          <t>SEC-05</t>
        </is>
      </c>
      <c r="B51" s="40" t="inlineStr">
        <is>
          <t>F. Keamanan &amp; Isolasi</t>
        </is>
      </c>
      <c r="C51" s="7" t="inlineStr">
        <is>
          <t>ENDUSER tidak bisa aksi staf</t>
        </is>
      </c>
      <c r="D51" s="34" t="inlineStr">
        <is>
          <t>SE</t>
        </is>
      </c>
      <c r="E51" s="34" t="inlineStr">
        <is>
          <t>P2</t>
        </is>
      </c>
      <c r="F51" s="34" t="inlineStr">
        <is>
          <t>Tidak ada</t>
        </is>
      </c>
      <c r="G51" s="7" t="inlineStr">
        <is>
          <t>Ada akun ENDUSER</t>
        </is>
      </c>
      <c r="H51" s="7" t="inlineStr">
        <is>
          <t>1) Login ENDUSER; coba buka Devices/Administration, atau panggil API staf.</t>
        </is>
      </c>
      <c r="I51" s="7" t="inlineStr">
        <is>
          <t>Ditolak 403 (hanya portal self-service yang boleh).</t>
        </is>
      </c>
      <c r="J51" s="7" t="inlineStr">
        <is>
          <t>Console / API</t>
        </is>
      </c>
      <c r="K51" s="31" t="inlineStr"/>
      <c r="L51" s="35" t="inlineStr">
        <is>
          <t>Belum</t>
        </is>
      </c>
      <c r="M51" s="31" t="inlineStr"/>
      <c r="N51" s="31" t="inlineStr"/>
      <c r="O51" s="31" t="inlineStr"/>
      <c r="P51" s="35" t="inlineStr"/>
    </row>
    <row r="52" ht="43" customHeight="1">
      <c r="A52" s="32" t="inlineStr">
        <is>
          <t>OBS-01</t>
        </is>
      </c>
      <c r="B52" s="41" t="inlineStr">
        <is>
          <t>G. Stabilitas &amp; Observasi</t>
        </is>
      </c>
      <c r="C52" s="7" t="inlineStr">
        <is>
          <t>Log acsd bersih dari ERROR/panic</t>
        </is>
      </c>
      <c r="D52" s="34" t="inlineStr">
        <is>
          <t>SE</t>
        </is>
      </c>
      <c r="E52" s="34" t="inlineStr">
        <is>
          <t>P0</t>
        </is>
      </c>
      <c r="F52" s="34" t="inlineStr">
        <is>
          <t>Tidak ada</t>
        </is>
      </c>
      <c r="G52" s="7" t="inlineStr">
        <is>
          <t>Sesi uji ≥ 30 menit</t>
        </is>
      </c>
      <c r="H52" s="7" t="inlineStr">
        <is>
          <t>1) Ambil log acsd sejak mulai uji.
2) Filter level ERROR/WARN dan 'panic'.
3) Simpan log ke file.</t>
        </is>
      </c>
      <c r="I52" s="7" t="inlineStr">
        <is>
          <t>Tidak ada panic; ERROR hanya yang dapat dijelaskan (mis. ONT mengirim XML tak standar → catat).</t>
        </is>
      </c>
      <c r="J52" s="7" t="inlineStr">
        <is>
          <t>docker logs acs-acsd-1 --since 1h &gt; acsd_uat.log
findstr /i /c:"\"level\":\"ERROR\"" /c:panic acsd_uat.log</t>
        </is>
      </c>
      <c r="K52" s="31" t="inlineStr"/>
      <c r="L52" s="35" t="inlineStr">
        <is>
          <t>Belum</t>
        </is>
      </c>
      <c r="M52" s="31" t="inlineStr"/>
      <c r="N52" s="31" t="inlineStr"/>
      <c r="O52" s="31" t="inlineStr"/>
      <c r="P52" s="35" t="inlineStr"/>
    </row>
    <row r="53" ht="30" customHeight="1">
      <c r="A53" s="32" t="inlineStr">
        <is>
          <t>OBS-02</t>
        </is>
      </c>
      <c r="B53" s="41" t="inlineStr">
        <is>
          <t>G. Stabilitas &amp; Observasi</t>
        </is>
      </c>
      <c r="C53" s="7" t="inlineStr">
        <is>
          <t>Dashboard &amp; status device akurat</t>
        </is>
      </c>
      <c r="D53" s="34" t="inlineStr">
        <is>
          <t>SE+NE</t>
        </is>
      </c>
      <c r="E53" s="34" t="inlineStr">
        <is>
          <t>P1</t>
        </is>
      </c>
      <c r="F53" s="34" t="inlineStr">
        <is>
          <t>Tidak ada</t>
        </is>
      </c>
      <c r="G53" s="7" t="inlineStr">
        <is>
          <t>INF-03 lulus</t>
        </is>
      </c>
      <c r="H53" s="7" t="inlineStr">
        <is>
          <t>1) Dashboard: jumlah device, online/offline.
2) Bandingkan dengan kenyataan (ONT menyala).</t>
        </is>
      </c>
      <c r="I53" s="7" t="inlineStr">
        <is>
          <t>Device ONT tercatat online; hitungan benar.</t>
        </is>
      </c>
      <c r="J53" s="7" t="inlineStr">
        <is>
          <t>Console: Dashboard</t>
        </is>
      </c>
      <c r="K53" s="31" t="inlineStr"/>
      <c r="L53" s="35" t="inlineStr">
        <is>
          <t>Belum</t>
        </is>
      </c>
      <c r="M53" s="31" t="inlineStr"/>
      <c r="N53" s="31" t="inlineStr"/>
      <c r="O53" s="31" t="inlineStr"/>
      <c r="P53" s="35" t="inlineStr"/>
    </row>
    <row r="54" ht="30" customHeight="1">
      <c r="A54" s="32" t="inlineStr">
        <is>
          <t>OBS-03</t>
        </is>
      </c>
      <c r="B54" s="41" t="inlineStr">
        <is>
          <t>G. Stabilitas &amp; Observasi</t>
        </is>
      </c>
      <c r="C54" s="7" t="inlineStr">
        <is>
          <t>Audit trail aksi tercatat</t>
        </is>
      </c>
      <c r="D54" s="34" t="inlineStr">
        <is>
          <t>SE</t>
        </is>
      </c>
      <c r="E54" s="34" t="inlineStr">
        <is>
          <t>P1</t>
        </is>
      </c>
      <c r="F54" s="34" t="inlineStr">
        <is>
          <t>Tidak ada</t>
        </is>
      </c>
      <c r="G54" s="7" t="inlineStr">
        <is>
          <t>Setelah Fase C–E</t>
        </is>
      </c>
      <c r="H54" s="7" t="inlineStr">
        <is>
          <t>1) Audit atau Device &gt; Activity: cari aksi yang baru dilakukan (refresh, CR, set, reboot).</t>
        </is>
      </c>
      <c r="I54" s="7" t="inlineStr">
        <is>
          <t>Setiap aksi tercatat dengan pelaku, waktu, target.</t>
        </is>
      </c>
      <c r="J54" s="7" t="inlineStr">
        <is>
          <t>Console: Audit
API: GET /api/v1/devices/{id}/activity</t>
        </is>
      </c>
      <c r="K54" s="31" t="inlineStr"/>
      <c r="L54" s="35" t="inlineStr">
        <is>
          <t>Belum</t>
        </is>
      </c>
      <c r="M54" s="31" t="inlineStr"/>
      <c r="N54" s="31" t="inlineStr"/>
      <c r="O54" s="31" t="inlineStr"/>
      <c r="P54" s="35" t="inlineStr"/>
    </row>
    <row r="55" ht="30" customHeight="1">
      <c r="A55" s="32" t="inlineStr">
        <is>
          <t>OBS-04</t>
        </is>
      </c>
      <c r="B55" s="41" t="inlineStr">
        <is>
          <t>G. Stabilitas &amp; Observasi</t>
        </is>
      </c>
      <c r="C55" s="7" t="inlineStr">
        <is>
          <t>UI Device Detail tanpa error konsol</t>
        </is>
      </c>
      <c r="D55" s="34" t="inlineStr">
        <is>
          <t>SE</t>
        </is>
      </c>
      <c r="E55" s="34" t="inlineStr">
        <is>
          <t>P2</t>
        </is>
      </c>
      <c r="F55" s="34" t="inlineStr">
        <is>
          <t>Tidak ada</t>
        </is>
      </c>
      <c r="G55" s="7" t="inlineStr">
        <is>
          <t>INF-03 lulus</t>
        </is>
      </c>
      <c r="H55" s="7" t="inlineStr">
        <is>
          <t>1) Buka Device Detail dengan DevTools Console.
2) Pindah semua tab; coba dark mode &amp; lebar layar mobile.</t>
        </is>
      </c>
      <c r="I55" s="7" t="inlineStr">
        <is>
          <t>Tanpa error merah; tabel/tab tampil benar.</t>
        </is>
      </c>
      <c r="J55" s="7" t="inlineStr">
        <is>
          <t>F12 &gt; Console</t>
        </is>
      </c>
      <c r="K55" s="31" t="inlineStr"/>
      <c r="L55" s="35" t="inlineStr">
        <is>
          <t>Belum</t>
        </is>
      </c>
      <c r="M55" s="31" t="inlineStr"/>
      <c r="N55" s="31" t="inlineStr"/>
      <c r="O55" s="31" t="inlineStr"/>
      <c r="P55" s="35" t="inlineStr"/>
    </row>
    <row r="56" ht="30" customHeight="1">
      <c r="A56" s="32" t="inlineStr">
        <is>
          <t>OBS-05</t>
        </is>
      </c>
      <c r="B56" s="41" t="inlineStr">
        <is>
          <t>G. Stabilitas &amp; Observasi</t>
        </is>
      </c>
      <c r="C56" s="7" t="inlineStr">
        <is>
          <t>Sesi CWMP tidak menumpuk</t>
        </is>
      </c>
      <c r="D56" s="34" t="inlineStr">
        <is>
          <t>SE</t>
        </is>
      </c>
      <c r="E56" s="34" t="inlineStr">
        <is>
          <t>P1</t>
        </is>
      </c>
      <c r="F56" s="34" t="inlineStr">
        <is>
          <t>Tidak ada</t>
        </is>
      </c>
      <c r="G56" s="7" t="inlineStr">
        <is>
          <t>INF-10 lulus</t>
        </is>
      </c>
      <c r="H56" s="7" t="inlineStr">
        <is>
          <t>1) Lihat daftar sesi CWMP.
2) Hitung sesi OPEN.</t>
        </is>
      </c>
      <c r="I56" s="7" t="inlineStr">
        <is>
          <t>Tidak ada sesi OPEN menggantung (&gt; 15 menit menjadi TIMEOUT otomatis = normal).</t>
        </is>
      </c>
      <c r="J56" s="7" t="inlineStr">
        <is>
          <t>Console / API: sesi CWMP</t>
        </is>
      </c>
      <c r="K56" s="31" t="inlineStr"/>
      <c r="L56" s="35" t="inlineStr">
        <is>
          <t>Belum</t>
        </is>
      </c>
      <c r="M56" s="31" t="inlineStr"/>
      <c r="N56" s="31" t="inlineStr"/>
      <c r="O56" s="31" t="inlineStr"/>
      <c r="P56" s="35" t="inlineStr"/>
    </row>
    <row r="57" ht="69" customHeight="1">
      <c r="A57" s="32" t="inlineStr">
        <is>
          <t>RST-01</t>
        </is>
      </c>
      <c r="B57" s="42" t="inlineStr">
        <is>
          <t>H. Pemulihan</t>
        </is>
      </c>
      <c r="C57" s="7" t="inlineStr">
        <is>
          <t>Kembalikan setelan TR-069 ONT &amp; cek Internet</t>
        </is>
      </c>
      <c r="D57" s="34" t="inlineStr">
        <is>
          <t>NE</t>
        </is>
      </c>
      <c r="E57" s="34" t="inlineStr">
        <is>
          <t>P0</t>
        </is>
      </c>
      <c r="F57" s="34" t="inlineStr">
        <is>
          <t>Ringan</t>
        </is>
      </c>
      <c r="G57" s="7" t="inlineStr">
        <is>
          <t>Uji selesai</t>
        </is>
      </c>
      <c r="H57" s="7" t="inlineStr">
        <is>
          <t>1) Administration &gt; TR-069 &gt; Basic: kembalikan ACS URL, username, password, interval 43200, dan CR username/password PERSIS seperti foto INF-01.
2) Pastikan ONT kembali Inform ke ACS Telkom / layanan normal.</t>
        </is>
      </c>
      <c r="I57" s="7" t="inlineStr">
        <is>
          <t>ONT kembali ke setelan awal; Internet normal.</t>
        </is>
      </c>
      <c r="J57" s="7" t="inlineStr">
        <is>
          <t>GUI ONT</t>
        </is>
      </c>
      <c r="K57" s="31" t="inlineStr"/>
      <c r="L57" s="35" t="inlineStr">
        <is>
          <t>Belum</t>
        </is>
      </c>
      <c r="M57" s="31" t="inlineStr"/>
      <c r="N57" s="31" t="inlineStr"/>
      <c r="O57" s="31" t="inlineStr"/>
      <c r="P57" s="35" t="inlineStr"/>
    </row>
    <row r="58" ht="43" customHeight="1">
      <c r="A58" s="32" t="inlineStr">
        <is>
          <t>RST-02</t>
        </is>
      </c>
      <c r="B58" s="42" t="inlineStr">
        <is>
          <t>H. Pemulihan</t>
        </is>
      </c>
      <c r="C58" s="7" t="inlineStr">
        <is>
          <t>Bersihkan data uji</t>
        </is>
      </c>
      <c r="D58" s="34" t="inlineStr">
        <is>
          <t>SE</t>
        </is>
      </c>
      <c r="E58" s="34" t="inlineStr">
        <is>
          <t>P1</t>
        </is>
      </c>
      <c r="F58" s="34" t="inlineStr">
        <is>
          <t>Tidak ada</t>
        </is>
      </c>
      <c r="G58" s="7" t="inlineStr">
        <is>
          <t>Uji selesai</t>
        </is>
      </c>
      <c r="H58" s="7" t="inlineStr">
        <is>
          <t>1) Hapus (soft-delete) device uji GLADI-*.
2) Putuskan: simpan atau hapus tenant pilot UAT.
3) Backup DB kedua (setelah uji).</t>
        </is>
      </c>
      <c r="I58" s="7" t="inlineStr">
        <is>
          <t>Data uji tidak mencemari tenant lain; backup pasca-uji tersimpan.</t>
        </is>
      </c>
      <c r="J58" s="7" t="inlineStr">
        <is>
          <t>docker compose exec mariadb sh -c 'mariadb-dump -uacs -p"$MARIADB_PASSWORD" acs' &gt; backup_setelah_uji.sql</t>
        </is>
      </c>
      <c r="K58" s="31" t="inlineStr"/>
      <c r="L58" s="35" t="inlineStr">
        <is>
          <t>Belum</t>
        </is>
      </c>
      <c r="M58" s="31" t="inlineStr"/>
      <c r="N58" s="31" t="inlineStr"/>
      <c r="O58" s="31" t="inlineStr"/>
      <c r="P58" s="35" t="inlineStr"/>
    </row>
    <row r="59" ht="43" customHeight="1">
      <c r="A59" s="32" t="inlineStr">
        <is>
          <t>RST-03</t>
        </is>
      </c>
      <c r="B59" s="42" t="inlineStr">
        <is>
          <t>H. Pemulihan</t>
        </is>
      </c>
      <c r="C59" s="7" t="inlineStr">
        <is>
          <t>Kumpulkan bukti &amp; isi laporan</t>
        </is>
      </c>
      <c r="D59" s="34" t="inlineStr">
        <is>
          <t>SE+NE</t>
        </is>
      </c>
      <c r="E59" s="34" t="inlineStr">
        <is>
          <t>P0</t>
        </is>
      </c>
      <c r="F59" s="34" t="inlineStr">
        <is>
          <t>Tidak ada</t>
        </is>
      </c>
      <c r="G59" s="7" t="inlineStr">
        <is>
          <t>Uji selesai</t>
        </is>
      </c>
      <c r="H59" s="7" t="inlineStr">
        <is>
          <t>1) Simpan log acsd, screenshot, ekspor parameter.
2) Lengkapi sheet Parameter TR-069 &amp; Temuan.
3) Cek sheet Ringkasan.</t>
        </is>
      </c>
      <c r="I59" s="7" t="inlineStr">
        <is>
          <t>Semua Status terisi (tidak ada 'Belum' tanpa alasan); temuan terdokumentasi.</t>
        </is>
      </c>
      <c r="J59" s="7" t="inlineStr">
        <is>
          <t>Sheet Ringkasan</t>
        </is>
      </c>
      <c r="K59" s="31" t="inlineStr"/>
      <c r="L59" s="35" t="inlineStr">
        <is>
          <t>Belum</t>
        </is>
      </c>
      <c r="M59" s="31" t="inlineStr"/>
      <c r="N59" s="31" t="inlineStr"/>
      <c r="O59" s="31" t="inlineStr"/>
      <c r="P59" s="35" t="inlineStr"/>
    </row>
  </sheetData>
  <autoFilter ref="A4:P59"/>
  <conditionalFormatting sqref="L5:L59">
    <cfRule type="cellIs" priority="1" operator="equal" dxfId="1">
      <formula>"Lulus"</formula>
    </cfRule>
    <cfRule type="cellIs" priority="2" operator="equal" dxfId="0">
      <formula>"Gagal"</formula>
    </cfRule>
    <cfRule type="cellIs" priority="3" operator="equal" dxfId="2">
      <formula>"Blok"</formula>
    </cfRule>
    <cfRule type="cellIs" priority="4" operator="equal" dxfId="3">
      <formula>"Skip"</formula>
    </cfRule>
    <cfRule type="cellIs" priority="5" operator="equal" dxfId="3">
      <formula>"N/A"</formula>
    </cfRule>
  </conditionalFormatting>
  <dataValidations count="1">
    <dataValidation sqref="L5:L59" showDropDown="0" showInputMessage="0" showErrorMessage="0" allowBlank="0" errorTitle="Status tidak valid" error="Pilih salah satu: Belum, Lulus, Gagal, Blok, Skip, N/A" type="list">
      <formula1>"Belum,Lulus,Gagal,Blok,Skip,N/A"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54" customWidth="1" min="2" max="2"/>
    <col width="26" customWidth="1" min="3" max="3"/>
    <col width="30" customWidth="1" min="4" max="4"/>
    <col width="11" customWidth="1" min="5" max="5"/>
    <col width="50" customWidth="1" min="6" max="6"/>
  </cols>
  <sheetData>
    <row r="1">
      <c r="A1" s="1" t="inlineStr">
        <is>
          <t>Pencatatan Parameter TR-069 — ONT vs ACS</t>
        </is>
      </c>
    </row>
    <row r="2">
      <c r="A2" s="2" t="inlineStr">
        <is>
          <t>Isi 'Path asli' dari pohon (RD-01) dan 'Nilai di ACS'. 'Nilai pembanding' = hasil baca GUI ONT (isi sendiri; kunci WiFi/kredensial TIDAK dicatat). Kolom 'Cocok?' otomatis (perbandingan teks; untuk angka optik nilai toleransi dinilai manual).</t>
        </is>
      </c>
    </row>
    <row r="4" ht="30" customHeight="1">
      <c r="A4" s="12" t="inlineStr">
        <is>
          <t>Logical key (ACS)</t>
        </is>
      </c>
      <c r="B4" s="12" t="inlineStr">
        <is>
          <t>Path TR-069 asli (dari pohon)</t>
        </is>
      </c>
      <c r="C4" s="12" t="inlineStr">
        <is>
          <t>Nilai di ACS</t>
        </is>
      </c>
      <c r="D4" s="12" t="inlineStr">
        <is>
          <t>Nilai pembanding (GUI ONT)</t>
        </is>
      </c>
      <c r="E4" s="12" t="inlineStr">
        <is>
          <t>Cocok?</t>
        </is>
      </c>
      <c r="F4" s="12" t="inlineStr">
        <is>
          <t>Catatan / kebutuhan mapping baru</t>
        </is>
      </c>
    </row>
    <row r="5" ht="17" customHeight="1">
      <c r="A5" s="7" t="inlineStr">
        <is>
          <t>device.manufacturer</t>
        </is>
      </c>
      <c r="B5" s="31" t="inlineStr"/>
      <c r="C5" s="31" t="inlineStr"/>
      <c r="D5" s="43" t="inlineStr">
        <is>
          <t>ZTE</t>
        </is>
      </c>
      <c r="E5" s="34">
        <f>IF(OR(C5="",D5=""),"",IF(TRIM(C5)=TRIM(D5),"Cocok","Beda"))</f>
        <v/>
      </c>
      <c r="F5" s="7" t="inlineStr"/>
    </row>
    <row r="6" ht="17" customHeight="1">
      <c r="A6" s="7" t="inlineStr">
        <is>
          <t>device.model_name</t>
        </is>
      </c>
      <c r="B6" s="31" t="inlineStr"/>
      <c r="C6" s="31" t="inlineStr"/>
      <c r="D6" s="43" t="inlineStr">
        <is>
          <t>F609</t>
        </is>
      </c>
      <c r="E6" s="34">
        <f>IF(OR(C6="",D6=""),"",IF(TRIM(C6)=TRIM(D6),"Cocok","Beda"))</f>
        <v/>
      </c>
      <c r="F6" s="7" t="inlineStr"/>
    </row>
    <row r="7" ht="17" customHeight="1">
      <c r="A7" s="7" t="inlineStr">
        <is>
          <t>device.serial_number</t>
        </is>
      </c>
      <c r="B7" s="31" t="inlineStr"/>
      <c r="C7" s="31" t="inlineStr"/>
      <c r="D7" s="43" t="inlineStr"/>
      <c r="E7" s="34">
        <f>IF(OR(C7="",D7=""),"",IF(TRIM(C7)=TRIM(D7),"Cocok","Beda"))</f>
        <v/>
      </c>
      <c r="F7" s="7" t="inlineStr">
        <is>
          <t>Isi dari GUI ONT</t>
        </is>
      </c>
    </row>
    <row r="8" ht="17" customHeight="1">
      <c r="A8" s="7" t="inlineStr">
        <is>
          <t>device.hardware_version</t>
        </is>
      </c>
      <c r="B8" s="31" t="inlineStr"/>
      <c r="C8" s="31" t="inlineStr"/>
      <c r="D8" s="43" t="inlineStr"/>
      <c r="E8" s="34">
        <f>IF(OR(C8="",D8=""),"",IF(TRIM(C8)=TRIM(D8),"Cocok","Beda"))</f>
        <v/>
      </c>
      <c r="F8" s="7" t="inlineStr">
        <is>
          <t>Isi dari GUI ONT</t>
        </is>
      </c>
    </row>
    <row r="9" ht="17" customHeight="1">
      <c r="A9" s="7" t="inlineStr">
        <is>
          <t>device.software_version</t>
        </is>
      </c>
      <c r="B9" s="31" t="inlineStr"/>
      <c r="C9" s="31" t="inlineStr"/>
      <c r="D9" s="43" t="inlineStr"/>
      <c r="E9" s="34">
        <f>IF(OR(C9="",D9=""),"",IF(TRIM(C9)=TRIM(D9),"Cocok","Beda"))</f>
        <v/>
      </c>
      <c r="F9" s="7" t="inlineStr">
        <is>
          <t>Isi dari GUI ONT</t>
        </is>
      </c>
    </row>
    <row r="10" ht="30" customHeight="1">
      <c r="A10" s="7" t="inlineStr">
        <is>
          <t>device.uptime</t>
        </is>
      </c>
      <c r="B10" s="31" t="inlineStr"/>
      <c r="C10" s="31" t="inlineStr"/>
      <c r="D10" s="43" t="inlineStr"/>
      <c r="E10" s="34">
        <f>IF(OR(C10="",D10=""),"",IF(TRIM(C10)=TRIM(D10),"Cocok","Beda"))</f>
        <v/>
      </c>
      <c r="F10" s="7" t="inlineStr">
        <is>
          <t>Bandingkan dengan 'Up time' di GUI ONT (selisih kecil wajar)</t>
        </is>
      </c>
    </row>
    <row r="11" ht="30" customHeight="1">
      <c r="A11" s="7" t="inlineStr">
        <is>
          <t>device.periodic_inform_interval</t>
        </is>
      </c>
      <c r="B11" s="31" t="inlineStr"/>
      <c r="C11" s="31" t="inlineStr"/>
      <c r="D11" s="43" t="inlineStr">
        <is>
          <t>300</t>
        </is>
      </c>
      <c r="E11" s="34">
        <f>IF(OR(C11="",D11=""),"",IF(TRIM(C11)=TRIM(D11),"Cocok","Beda"))</f>
        <v/>
      </c>
      <c r="F11" s="7" t="inlineStr">
        <is>
          <t>Awal 43200 (Telkom); diubah ke 300 saat uji, kembalikan di RST-01</t>
        </is>
      </c>
    </row>
    <row r="12" ht="17" customHeight="1">
      <c r="A12" s="7" t="inlineStr">
        <is>
          <t>device.connection_request_url</t>
        </is>
      </c>
      <c r="B12" s="31" t="inlineStr"/>
      <c r="C12" s="31" t="inlineStr"/>
      <c r="D12" s="43" t="inlineStr"/>
      <c r="E12" s="34">
        <f>IF(OR(C12="",D12=""),"",IF(TRIM(C12)=TRIM(D12),"Cocok","Beda"))</f>
        <v/>
      </c>
      <c r="F12" s="7" t="inlineStr">
        <is>
          <t>Host harus = IP WAN ONT (INF-08)</t>
        </is>
      </c>
    </row>
    <row r="13" ht="30" customHeight="1">
      <c r="A13" s="7" t="inlineStr">
        <is>
          <t>wifi.ssid</t>
        </is>
      </c>
      <c r="B13" s="31" t="inlineStr"/>
      <c r="C13" s="31" t="inlineStr"/>
      <c r="D13" s="43" t="inlineStr"/>
      <c r="E13" s="34">
        <f>IF(OR(C13="",D13=""),"",IF(TRIM(C13)=TRIM(D13),"Cocok","Beda"))</f>
        <v/>
      </c>
      <c r="F13" s="7" t="inlineStr">
        <is>
          <t>Isi SSID dari GUI. Catat WLANConfiguration.1 = 2.4G / 5G?</t>
        </is>
      </c>
    </row>
    <row r="14" ht="17" customHeight="1">
      <c r="A14" s="7" t="inlineStr">
        <is>
          <t>wan.pppoe.username</t>
        </is>
      </c>
      <c r="B14" s="31" t="inlineStr"/>
      <c r="C14" s="31" t="inlineStr"/>
      <c r="D14" s="43" t="inlineStr"/>
      <c r="E14" s="34">
        <f>IF(OR(C14="",D14=""),"",IF(TRIM(C14)=TRIM(D14),"Cocok","Beda"))</f>
        <v/>
      </c>
      <c r="F14" s="7" t="inlineStr">
        <is>
          <t>Kosong/9005 bila mode bridge atau DHCP — catat</t>
        </is>
      </c>
    </row>
    <row r="15" ht="30" customHeight="1">
      <c r="A15" s="7" t="inlineStr">
        <is>
          <t>optical.tx_power (belum dipetakan TR-098)</t>
        </is>
      </c>
      <c r="B15" s="31" t="inlineStr"/>
      <c r="C15" s="31" t="inlineStr"/>
      <c r="D15" s="43" t="inlineStr"/>
      <c r="E15" s="34">
        <f>IF(OR(C15="",D15=""),"",IF(TRIM(C15)=TRIM(D15),"Cocok","Beda"))</f>
        <v/>
      </c>
      <c r="F15" s="7" t="inlineStr">
        <is>
          <t>Cari path X_ZTE-COM_*/Optical di pohon; skala satuan (0,001 dBm?)</t>
        </is>
      </c>
    </row>
    <row r="16" ht="30" customHeight="1">
      <c r="A16" s="7" t="inlineStr">
        <is>
          <t>optical.rx_power (belum dipetakan TR-098)</t>
        </is>
      </c>
      <c r="B16" s="31" t="inlineStr"/>
      <c r="C16" s="31" t="inlineStr"/>
      <c r="D16" s="43" t="inlineStr"/>
      <c r="E16" s="34">
        <f>IF(OR(C16="",D16=""),"",IF(TRIM(C16)=TRIM(D16),"Cocok","Beda"))</f>
        <v/>
      </c>
      <c r="F16" s="7" t="inlineStr">
        <is>
          <t>Idem</t>
        </is>
      </c>
    </row>
    <row r="17" ht="30" customHeight="1">
      <c r="A17" s="7" t="inlineStr">
        <is>
          <t>optik: suhu (tidak ada logical key)</t>
        </is>
      </c>
      <c r="B17" s="31" t="inlineStr"/>
      <c r="C17" s="31" t="inlineStr"/>
      <c r="D17" s="43" t="inlineStr"/>
      <c r="E17" s="34">
        <f>IF(OR(C17="",D17=""),"",IF(TRIM(C17)=TRIM(D17),"Cocok","Beda"))</f>
        <v/>
      </c>
      <c r="F17" s="7" t="inlineStr">
        <is>
          <t>Opsional</t>
        </is>
      </c>
    </row>
    <row r="18" ht="30" customHeight="1">
      <c r="A18" s="7" t="inlineStr">
        <is>
          <t>optik: tegangan (tidak ada logical key)</t>
        </is>
      </c>
      <c r="B18" s="31" t="inlineStr"/>
      <c r="C18" s="31" t="inlineStr"/>
      <c r="D18" s="43" t="inlineStr"/>
      <c r="E18" s="34">
        <f>IF(OR(C18="",D18=""),"",IF(TRIM(C18)=TRIM(D18),"Cocok","Beda"))</f>
        <v/>
      </c>
      <c r="F18" s="7" t="inlineStr">
        <is>
          <t>Opsional</t>
        </is>
      </c>
    </row>
    <row r="19" ht="30" customHeight="1">
      <c r="A19" s="7" t="inlineStr">
        <is>
          <t>optik: bias (tidak ada logical key)</t>
        </is>
      </c>
      <c r="B19" s="31" t="inlineStr"/>
      <c r="C19" s="31" t="inlineStr"/>
      <c r="D19" s="43" t="inlineStr"/>
      <c r="E19" s="34">
        <f>IF(OR(C19="",D19=""),"",IF(TRIM(C19)=TRIM(D19),"Cocok","Beda"))</f>
        <v/>
      </c>
      <c r="F19" s="7" t="inlineStr">
        <is>
          <t>Opsional</t>
        </is>
      </c>
    </row>
    <row r="20" ht="30" customHeight="1">
      <c r="A20" s="7" t="inlineStr">
        <is>
          <t>Data model root</t>
        </is>
      </c>
      <c r="B20" s="31" t="inlineStr"/>
      <c r="C20" s="31" t="inlineStr"/>
      <c r="D20" s="43" t="inlineStr"/>
      <c r="E20" s="34">
        <f>IF(OR(C20="",D20=""),"",IF(TRIM(C20)=TRIM(D20),"Cocok","Beda"))</f>
        <v/>
      </c>
      <c r="F20" s="7" t="inlineStr">
        <is>
          <t>InternetGatewayDevice.* (TR-098) atau Device.* (TR-181)</t>
        </is>
      </c>
    </row>
    <row r="21" ht="30" customHeight="1">
      <c r="A21" s="7" t="inlineStr">
        <is>
          <t>Namespace CWMP di Inform</t>
        </is>
      </c>
      <c r="B21" s="31" t="inlineStr"/>
      <c r="C21" s="31" t="inlineStr"/>
      <c r="D21" s="43" t="inlineStr"/>
      <c r="E21" s="34">
        <f>IF(OR(C21="",D21=""),"",IF(TRIM(C21)=TRIM(D21),"Cocok","Beda"))</f>
        <v/>
      </c>
      <c r="F21" s="7" t="inlineStr">
        <is>
          <t>Simulator mengasumsikan cwmp-1-0; catat yang dikirim firmware F609 (Telkom)</t>
        </is>
      </c>
    </row>
    <row r="22" ht="30" customHeight="1">
      <c r="A22" s="7" t="inlineStr">
        <is>
          <t>Jumlah parameter terbaca (Refresh)</t>
        </is>
      </c>
      <c r="B22" s="31" t="inlineStr"/>
      <c r="C22" s="31" t="inlineStr"/>
      <c r="D22" s="43" t="inlineStr"/>
      <c r="E22" s="34">
        <f>IF(OR(C22="",D22=""),"",IF(TRIM(C22)=TRIM(D22),"Cocok","Beda"))</f>
        <v/>
      </c>
      <c r="F22" s="7" t="inlineStr">
        <is>
          <t>Dari RD-01</t>
        </is>
      </c>
    </row>
  </sheetData>
  <conditionalFormatting sqref="E5:E22">
    <cfRule type="cellIs" priority="1" operator="equal" dxfId="4">
      <formula>"Beda"</formula>
    </cfRule>
    <cfRule type="cellIs" priority="2" operator="equal" dxfId="5">
      <formula>"Cocok"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11" customWidth="1" min="3" max="3"/>
    <col width="20" customWidth="1" min="4" max="4"/>
    <col width="34" customWidth="1" min="5" max="5"/>
    <col width="40" customWidth="1" min="6" max="6"/>
    <col width="40" customWidth="1" min="7" max="7"/>
    <col width="20" customWidth="1" min="8" max="8"/>
    <col width="12" customWidth="1" min="9" max="9"/>
    <col width="12" customWidth="1" min="10" max="10"/>
    <col width="32" customWidth="1" min="11" max="11"/>
  </cols>
  <sheetData>
    <row r="1">
      <c r="A1" s="1" t="inlineStr">
        <is>
          <t>Log Temuan (Bug / Gap / Konfigurasi)</t>
        </is>
      </c>
    </row>
    <row r="2">
      <c r="A2" s="2" t="inlineStr">
        <is>
          <t>Satu baris per temuan. Baris 'CONTOH' hanya ilustrasi format — hapus atau biarkan. Cek sheet 'Batasan Diketahui' dulu sebelum menandai sesuatu 'Bug ACS'.</t>
        </is>
      </c>
    </row>
    <row r="4" ht="30" customHeight="1">
      <c r="A4" s="12" t="inlineStr">
        <is>
          <t>ID</t>
        </is>
      </c>
      <c r="B4" s="12" t="inlineStr">
        <is>
          <t>Test Case terkait</t>
        </is>
      </c>
      <c r="C4" s="12" t="inlineStr">
        <is>
          <t>Severity</t>
        </is>
      </c>
      <c r="D4" s="12" t="inlineStr">
        <is>
          <t>Kategori</t>
        </is>
      </c>
      <c r="E4" s="12" t="inlineStr">
        <is>
          <t>Ringkasan</t>
        </is>
      </c>
      <c r="F4" s="12" t="inlineStr">
        <is>
          <t>Langkah reproduksi</t>
        </is>
      </c>
      <c r="G4" s="12" t="inlineStr">
        <is>
          <t>Aktual vs diharapkan</t>
        </is>
      </c>
      <c r="H4" s="12" t="inlineStr">
        <is>
          <t>Bukti (file/log)</t>
        </is>
      </c>
      <c r="I4" s="12" t="inlineStr">
        <is>
          <t>Pemilik</t>
        </is>
      </c>
      <c r="J4" s="12" t="inlineStr">
        <is>
          <t>Status</t>
        </is>
      </c>
      <c r="K4" s="12" t="inlineStr">
        <is>
          <t>Catatan tindak lanjut</t>
        </is>
      </c>
    </row>
    <row r="5" ht="43" customHeight="1">
      <c r="A5" s="31" t="inlineStr">
        <is>
          <t>CONTOH-1</t>
        </is>
      </c>
      <c r="B5" s="31" t="inlineStr">
        <is>
          <t>RD-03</t>
        </is>
      </c>
      <c r="C5" s="31" t="inlineStr">
        <is>
          <t>Sedang</t>
        </is>
      </c>
      <c r="D5" s="31" t="inlineStr">
        <is>
          <t>Mapping / Firmware CPE</t>
        </is>
      </c>
      <c r="E5" s="31" t="inlineStr">
        <is>
          <t>wan.pppoe.username Fault 9005 pada ZTE F609</t>
        </is>
      </c>
      <c r="F5" s="31" t="inlineStr">
        <is>
          <t>1) Device Detail &gt; Get Parameter wan.pppoe.username
2) Lihat task FAILED</t>
        </is>
      </c>
      <c r="G5" s="31" t="inlineStr">
        <is>
          <t>Diharapkan: nilai username. Aktual: Fault 9005 — ONT mode bridge, tidak ada WANPPPConnection.</t>
        </is>
      </c>
      <c r="H5" s="31" t="inlineStr">
        <is>
          <t>RD-03.png; acsd_uat.log</t>
        </is>
      </c>
      <c r="I5" s="31" t="inlineStr">
        <is>
          <t>SE</t>
        </is>
      </c>
      <c r="J5" s="31" t="inlineStr">
        <is>
          <t>Terbuka</t>
        </is>
      </c>
      <c r="K5" s="31" t="inlineStr">
        <is>
          <t>Tambah mapping per device_model_id setelah path WAN diverifikasi.</t>
        </is>
      </c>
    </row>
    <row r="6">
      <c r="A6" s="31" t="inlineStr">
        <is>
          <t>T-01</t>
        </is>
      </c>
      <c r="B6" s="31" t="n"/>
      <c r="C6" s="31" t="n"/>
      <c r="D6" s="31" t="n"/>
      <c r="E6" s="31" t="n"/>
      <c r="F6" s="31" t="n"/>
      <c r="G6" s="31" t="n"/>
      <c r="H6" s="31" t="n"/>
      <c r="I6" s="31" t="n"/>
      <c r="J6" s="31" t="n"/>
      <c r="K6" s="31" t="n"/>
    </row>
    <row r="7">
      <c r="A7" s="31" t="inlineStr">
        <is>
          <t>T-02</t>
        </is>
      </c>
      <c r="B7" s="31" t="n"/>
      <c r="C7" s="31" t="n"/>
      <c r="D7" s="31" t="n"/>
      <c r="E7" s="31" t="n"/>
      <c r="F7" s="31" t="n"/>
      <c r="G7" s="31" t="n"/>
      <c r="H7" s="31" t="n"/>
      <c r="I7" s="31" t="n"/>
      <c r="J7" s="31" t="n"/>
      <c r="K7" s="31" t="n"/>
    </row>
    <row r="8">
      <c r="A8" s="31" t="inlineStr">
        <is>
          <t>T-03</t>
        </is>
      </c>
      <c r="B8" s="31" t="n"/>
      <c r="C8" s="31" t="n"/>
      <c r="D8" s="31" t="n"/>
      <c r="E8" s="31" t="n"/>
      <c r="F8" s="31" t="n"/>
      <c r="G8" s="31" t="n"/>
      <c r="H8" s="31" t="n"/>
      <c r="I8" s="31" t="n"/>
      <c r="J8" s="31" t="n"/>
      <c r="K8" s="31" t="n"/>
    </row>
    <row r="9">
      <c r="A9" s="31" t="inlineStr">
        <is>
          <t>T-04</t>
        </is>
      </c>
      <c r="B9" s="31" t="n"/>
      <c r="C9" s="31" t="n"/>
      <c r="D9" s="31" t="n"/>
      <c r="E9" s="31" t="n"/>
      <c r="F9" s="31" t="n"/>
      <c r="G9" s="31" t="n"/>
      <c r="H9" s="31" t="n"/>
      <c r="I9" s="31" t="n"/>
      <c r="J9" s="31" t="n"/>
      <c r="K9" s="31" t="n"/>
    </row>
    <row r="10">
      <c r="A10" s="31" t="inlineStr">
        <is>
          <t>T-05</t>
        </is>
      </c>
      <c r="B10" s="31" t="n"/>
      <c r="C10" s="31" t="n"/>
      <c r="D10" s="31" t="n"/>
      <c r="E10" s="31" t="n"/>
      <c r="F10" s="31" t="n"/>
      <c r="G10" s="31" t="n"/>
      <c r="H10" s="31" t="n"/>
      <c r="I10" s="31" t="n"/>
      <c r="J10" s="31" t="n"/>
      <c r="K10" s="31" t="n"/>
    </row>
    <row r="11">
      <c r="A11" s="31" t="inlineStr">
        <is>
          <t>T-06</t>
        </is>
      </c>
      <c r="B11" s="31" t="n"/>
      <c r="C11" s="31" t="n"/>
      <c r="D11" s="31" t="n"/>
      <c r="E11" s="31" t="n"/>
      <c r="F11" s="31" t="n"/>
      <c r="G11" s="31" t="n"/>
      <c r="H11" s="31" t="n"/>
      <c r="I11" s="31" t="n"/>
      <c r="J11" s="31" t="n"/>
      <c r="K11" s="31" t="n"/>
    </row>
    <row r="12">
      <c r="A12" s="31" t="inlineStr">
        <is>
          <t>T-07</t>
        </is>
      </c>
      <c r="B12" s="31" t="n"/>
      <c r="C12" s="31" t="n"/>
      <c r="D12" s="31" t="n"/>
      <c r="E12" s="31" t="n"/>
      <c r="F12" s="31" t="n"/>
      <c r="G12" s="31" t="n"/>
      <c r="H12" s="31" t="n"/>
      <c r="I12" s="31" t="n"/>
      <c r="J12" s="31" t="n"/>
      <c r="K12" s="31" t="n"/>
    </row>
    <row r="13">
      <c r="A13" s="31" t="inlineStr">
        <is>
          <t>T-08</t>
        </is>
      </c>
      <c r="B13" s="31" t="n"/>
      <c r="C13" s="31" t="n"/>
      <c r="D13" s="31" t="n"/>
      <c r="E13" s="31" t="n"/>
      <c r="F13" s="31" t="n"/>
      <c r="G13" s="31" t="n"/>
      <c r="H13" s="31" t="n"/>
      <c r="I13" s="31" t="n"/>
      <c r="J13" s="31" t="n"/>
      <c r="K13" s="31" t="n"/>
    </row>
    <row r="14">
      <c r="A14" s="31" t="inlineStr">
        <is>
          <t>T-09</t>
        </is>
      </c>
      <c r="B14" s="31" t="n"/>
      <c r="C14" s="31" t="n"/>
      <c r="D14" s="31" t="n"/>
      <c r="E14" s="31" t="n"/>
      <c r="F14" s="31" t="n"/>
      <c r="G14" s="31" t="n"/>
      <c r="H14" s="31" t="n"/>
      <c r="I14" s="31" t="n"/>
      <c r="J14" s="31" t="n"/>
      <c r="K14" s="31" t="n"/>
    </row>
    <row r="15">
      <c r="A15" s="31" t="inlineStr">
        <is>
          <t>T-10</t>
        </is>
      </c>
      <c r="B15" s="31" t="n"/>
      <c r="C15" s="31" t="n"/>
      <c r="D15" s="31" t="n"/>
      <c r="E15" s="31" t="n"/>
      <c r="F15" s="31" t="n"/>
      <c r="G15" s="31" t="n"/>
      <c r="H15" s="31" t="n"/>
      <c r="I15" s="31" t="n"/>
      <c r="J15" s="31" t="n"/>
      <c r="K15" s="31" t="n"/>
    </row>
    <row r="16">
      <c r="A16" s="31" t="inlineStr">
        <is>
          <t>T-11</t>
        </is>
      </c>
      <c r="B16" s="31" t="n"/>
      <c r="C16" s="31" t="n"/>
      <c r="D16" s="31" t="n"/>
      <c r="E16" s="31" t="n"/>
      <c r="F16" s="31" t="n"/>
      <c r="G16" s="31" t="n"/>
      <c r="H16" s="31" t="n"/>
      <c r="I16" s="31" t="n"/>
      <c r="J16" s="31" t="n"/>
      <c r="K16" s="31" t="n"/>
    </row>
    <row r="17">
      <c r="A17" s="31" t="inlineStr">
        <is>
          <t>T-12</t>
        </is>
      </c>
      <c r="B17" s="31" t="n"/>
      <c r="C17" s="31" t="n"/>
      <c r="D17" s="31" t="n"/>
      <c r="E17" s="31" t="n"/>
      <c r="F17" s="31" t="n"/>
      <c r="G17" s="31" t="n"/>
      <c r="H17" s="31" t="n"/>
      <c r="I17" s="31" t="n"/>
      <c r="J17" s="31" t="n"/>
      <c r="K17" s="31" t="n"/>
    </row>
    <row r="18">
      <c r="A18" s="31" t="inlineStr">
        <is>
          <t>T-13</t>
        </is>
      </c>
      <c r="B18" s="31" t="n"/>
      <c r="C18" s="31" t="n"/>
      <c r="D18" s="31" t="n"/>
      <c r="E18" s="31" t="n"/>
      <c r="F18" s="31" t="n"/>
      <c r="G18" s="31" t="n"/>
      <c r="H18" s="31" t="n"/>
      <c r="I18" s="31" t="n"/>
      <c r="J18" s="31" t="n"/>
      <c r="K18" s="31" t="n"/>
    </row>
    <row r="19">
      <c r="A19" s="31" t="inlineStr">
        <is>
          <t>T-14</t>
        </is>
      </c>
      <c r="B19" s="31" t="n"/>
      <c r="C19" s="31" t="n"/>
      <c r="D19" s="31" t="n"/>
      <c r="E19" s="31" t="n"/>
      <c r="F19" s="31" t="n"/>
      <c r="G19" s="31" t="n"/>
      <c r="H19" s="31" t="n"/>
      <c r="I19" s="31" t="n"/>
      <c r="J19" s="31" t="n"/>
      <c r="K19" s="31" t="n"/>
    </row>
    <row r="20">
      <c r="A20" s="31" t="inlineStr">
        <is>
          <t>T-15</t>
        </is>
      </c>
      <c r="B20" s="31" t="n"/>
      <c r="C20" s="31" t="n"/>
      <c r="D20" s="31" t="n"/>
      <c r="E20" s="31" t="n"/>
      <c r="F20" s="31" t="n"/>
      <c r="G20" s="31" t="n"/>
      <c r="H20" s="31" t="n"/>
      <c r="I20" s="31" t="n"/>
      <c r="J20" s="31" t="n"/>
      <c r="K20" s="31" t="n"/>
    </row>
    <row r="21">
      <c r="A21" s="31" t="inlineStr">
        <is>
          <t>T-16</t>
        </is>
      </c>
      <c r="B21" s="31" t="n"/>
      <c r="C21" s="31" t="n"/>
      <c r="D21" s="31" t="n"/>
      <c r="E21" s="31" t="n"/>
      <c r="F21" s="31" t="n"/>
      <c r="G21" s="31" t="n"/>
      <c r="H21" s="31" t="n"/>
      <c r="I21" s="31" t="n"/>
      <c r="J21" s="31" t="n"/>
      <c r="K21" s="31" t="n"/>
    </row>
    <row r="22">
      <c r="A22" s="31" t="inlineStr">
        <is>
          <t>T-17</t>
        </is>
      </c>
      <c r="B22" s="31" t="n"/>
      <c r="C22" s="31" t="n"/>
      <c r="D22" s="31" t="n"/>
      <c r="E22" s="31" t="n"/>
      <c r="F22" s="31" t="n"/>
      <c r="G22" s="31" t="n"/>
      <c r="H22" s="31" t="n"/>
      <c r="I22" s="31" t="n"/>
      <c r="J22" s="31" t="n"/>
      <c r="K22" s="31" t="n"/>
    </row>
    <row r="23">
      <c r="A23" s="31" t="inlineStr">
        <is>
          <t>T-18</t>
        </is>
      </c>
      <c r="B23" s="31" t="n"/>
      <c r="C23" s="31" t="n"/>
      <c r="D23" s="31" t="n"/>
      <c r="E23" s="31" t="n"/>
      <c r="F23" s="31" t="n"/>
      <c r="G23" s="31" t="n"/>
      <c r="H23" s="31" t="n"/>
      <c r="I23" s="31" t="n"/>
      <c r="J23" s="31" t="n"/>
      <c r="K23" s="31" t="n"/>
    </row>
    <row r="24">
      <c r="A24" s="31" t="inlineStr">
        <is>
          <t>T-19</t>
        </is>
      </c>
      <c r="B24" s="31" t="n"/>
      <c r="C24" s="31" t="n"/>
      <c r="D24" s="31" t="n"/>
      <c r="E24" s="31" t="n"/>
      <c r="F24" s="31" t="n"/>
      <c r="G24" s="31" t="n"/>
      <c r="H24" s="31" t="n"/>
      <c r="I24" s="31" t="n"/>
      <c r="J24" s="31" t="n"/>
      <c r="K24" s="31" t="n"/>
    </row>
    <row r="25">
      <c r="A25" s="31" t="inlineStr">
        <is>
          <t>T-20</t>
        </is>
      </c>
      <c r="B25" s="31" t="n"/>
      <c r="C25" s="31" t="n"/>
      <c r="D25" s="31" t="n"/>
      <c r="E25" s="31" t="n"/>
      <c r="F25" s="31" t="n"/>
      <c r="G25" s="31" t="n"/>
      <c r="H25" s="31" t="n"/>
      <c r="I25" s="31" t="n"/>
      <c r="J25" s="31" t="n"/>
      <c r="K25" s="31" t="n"/>
    </row>
    <row r="26">
      <c r="A26" s="31" t="inlineStr">
        <is>
          <t>T-21</t>
        </is>
      </c>
      <c r="B26" s="31" t="n"/>
      <c r="C26" s="31" t="n"/>
      <c r="D26" s="31" t="n"/>
      <c r="E26" s="31" t="n"/>
      <c r="F26" s="31" t="n"/>
      <c r="G26" s="31" t="n"/>
      <c r="H26" s="31" t="n"/>
      <c r="I26" s="31" t="n"/>
      <c r="J26" s="31" t="n"/>
      <c r="K26" s="31" t="n"/>
    </row>
    <row r="27">
      <c r="A27" s="31" t="inlineStr">
        <is>
          <t>T-22</t>
        </is>
      </c>
      <c r="B27" s="31" t="n"/>
      <c r="C27" s="31" t="n"/>
      <c r="D27" s="31" t="n"/>
      <c r="E27" s="31" t="n"/>
      <c r="F27" s="31" t="n"/>
      <c r="G27" s="31" t="n"/>
      <c r="H27" s="31" t="n"/>
      <c r="I27" s="31" t="n"/>
      <c r="J27" s="31" t="n"/>
      <c r="K27" s="31" t="n"/>
    </row>
    <row r="28">
      <c r="A28" s="31" t="inlineStr">
        <is>
          <t>T-23</t>
        </is>
      </c>
      <c r="B28" s="31" t="n"/>
      <c r="C28" s="31" t="n"/>
      <c r="D28" s="31" t="n"/>
      <c r="E28" s="31" t="n"/>
      <c r="F28" s="31" t="n"/>
      <c r="G28" s="31" t="n"/>
      <c r="H28" s="31" t="n"/>
      <c r="I28" s="31" t="n"/>
      <c r="J28" s="31" t="n"/>
      <c r="K28" s="31" t="n"/>
    </row>
    <row r="29">
      <c r="A29" s="31" t="inlineStr">
        <is>
          <t>T-24</t>
        </is>
      </c>
      <c r="B29" s="31" t="n"/>
      <c r="C29" s="31" t="n"/>
      <c r="D29" s="31" t="n"/>
      <c r="E29" s="31" t="n"/>
      <c r="F29" s="31" t="n"/>
      <c r="G29" s="31" t="n"/>
      <c r="H29" s="31" t="n"/>
      <c r="I29" s="31" t="n"/>
      <c r="J29" s="31" t="n"/>
      <c r="K29" s="31" t="n"/>
    </row>
    <row r="30">
      <c r="A30" s="31" t="inlineStr">
        <is>
          <t>T-25</t>
        </is>
      </c>
      <c r="B30" s="31" t="n"/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</row>
    <row r="31">
      <c r="A31" s="31" t="inlineStr">
        <is>
          <t>T-26</t>
        </is>
      </c>
      <c r="B31" s="31" t="n"/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</row>
    <row r="32">
      <c r="A32" s="31" t="inlineStr">
        <is>
          <t>T-27</t>
        </is>
      </c>
      <c r="B32" s="31" t="n"/>
      <c r="C32" s="31" t="n"/>
      <c r="D32" s="31" t="n"/>
      <c r="E32" s="31" t="n"/>
      <c r="F32" s="31" t="n"/>
      <c r="G32" s="31" t="n"/>
      <c r="H32" s="31" t="n"/>
      <c r="I32" s="31" t="n"/>
      <c r="J32" s="31" t="n"/>
      <c r="K32" s="31" t="n"/>
    </row>
    <row r="33">
      <c r="A33" s="31" t="inlineStr">
        <is>
          <t>T-28</t>
        </is>
      </c>
      <c r="B33" s="31" t="n"/>
      <c r="C33" s="31" t="n"/>
      <c r="D33" s="31" t="n"/>
      <c r="E33" s="31" t="n"/>
      <c r="F33" s="31" t="n"/>
      <c r="G33" s="31" t="n"/>
      <c r="H33" s="31" t="n"/>
      <c r="I33" s="31" t="n"/>
      <c r="J33" s="31" t="n"/>
      <c r="K33" s="31" t="n"/>
    </row>
    <row r="34">
      <c r="A34" s="31" t="inlineStr">
        <is>
          <t>T-29</t>
        </is>
      </c>
      <c r="B34" s="31" t="n"/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</row>
  </sheetData>
  <dataValidations count="3">
    <dataValidation sqref="C5:C34" showDropDown="0" showInputMessage="0" showErrorMessage="0" allowBlank="1" type="list">
      <formula1>"Kritis,Tinggi,Sedang,Rendah,Info"</formula1>
    </dataValidation>
    <dataValidation sqref="D5:D34" showDropDown="0" showInputMessage="0" showErrorMessage="0" allowBlank="1" type="list">
      <formula1>"Bug ACS,Mapping / Firmware CPE,Konfigurasi / Jaringan,Batasan diketahui,Dokumentasi,UI / UX,Lainnya"</formula1>
    </dataValidation>
    <dataValidation sqref="J5:J34" showDropDown="0" showInputMessage="0" showErrorMessage="0" allowBlank="1" type="list">
      <formula1>"Terbuka,Dianalisis,Diperbaiki,Ditunda,Bukan masalah"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62" customWidth="1" min="3" max="3"/>
    <col width="52" customWidth="1" min="4" max="4"/>
  </cols>
  <sheetData>
    <row r="1">
      <c r="A1" s="1" t="inlineStr">
        <is>
          <t>Batasan yang Sudah Diketahui — jangan dianggap bug baru</t>
        </is>
      </c>
    </row>
    <row r="3" ht="30" customHeight="1">
      <c r="A3" s="12" t="inlineStr">
        <is>
          <t>#</t>
        </is>
      </c>
      <c r="B3" s="12" t="inlineStr">
        <is>
          <t>Batasan</t>
        </is>
      </c>
      <c r="C3" s="12" t="inlineStr">
        <is>
          <t>Dampak di lapangan</t>
        </is>
      </c>
      <c r="D3" s="12" t="inlineStr">
        <is>
          <t>Sikap saat ditemui</t>
        </is>
      </c>
    </row>
    <row r="4" ht="30" customHeight="1">
      <c r="A4" s="34" t="n">
        <v>1</v>
      </c>
      <c r="B4" s="7" t="inlineStr">
        <is>
          <t>ACS belum pernah menerima Inform dari CPE fisik; semua bukti dari simulator.</t>
        </is>
      </c>
      <c r="C4" s="7" t="inlineStr">
        <is>
          <t>Perilaku firmware nyata (namespace, urutan RPC, kuirk) bisa berbeda.</t>
        </is>
      </c>
      <c r="D4" s="7" t="inlineStr">
        <is>
          <t>Catat apa adanya; ini justru tujuan UAT.</t>
        </is>
      </c>
    </row>
    <row r="5" ht="43" customHeight="1">
      <c r="A5" s="34" t="n">
        <v>2</v>
      </c>
      <c r="B5" s="7" t="inlineStr">
        <is>
          <t>Pohon parameter &amp; path optik TR-098 ZTE F609 (firmware Telkom) belum teramati; mapping optik hanya TR-181 standar.</t>
        </is>
      </c>
      <c r="C5" s="7" t="inlineStr">
        <is>
          <t>Tab Redaman Optik kosong untuk F609.</t>
        </is>
      </c>
      <c r="D5" s="7" t="inlineStr">
        <is>
          <t>Diharapkan. Temukan path di RD-01 → tambah mapping sebagai DATA (bukan kode).</t>
        </is>
      </c>
    </row>
    <row r="6" ht="30" customHeight="1">
      <c r="A6" s="34" t="n">
        <v>3</v>
      </c>
      <c r="B6" s="7" t="inlineStr">
        <is>
          <t>ACS hanya HTTP polos di :7547 (host 17547); tidak ada TLS.</t>
        </is>
      </c>
      <c r="C6" s="7" t="inlineStr">
        <is>
          <t>ONT yang mewajibkan https:// tidak akan Inform. Kredensial Basic terkirim polos.</t>
        </is>
      </c>
      <c r="D6" s="7" t="inlineStr">
        <is>
          <t>Hanya untuk LAN tertutup. Bila perlu TLS: pakai docker-compose.tls.yml / reverse proxy (belum dilatih).</t>
        </is>
      </c>
    </row>
    <row r="7" ht="30" customHeight="1">
      <c r="A7" s="34" t="n">
        <v>4</v>
      </c>
      <c r="B7" s="7" t="inlineStr">
        <is>
          <t>Connection Request URL hanya disimpan bila host == IP sumber Inform (anti-SSRF).</t>
        </is>
      </c>
      <c r="C7" s="7" t="inlineStr">
        <is>
          <t>Di Docker Desktop IP sumber bisa 172.x → CR URL tak tersimpan.</t>
        </is>
      </c>
      <c r="D7" s="7" t="inlineStr">
        <is>
          <t>Isi manual lewat PATCH /devices/{id} (CR-05) atau jalankan acsd native.</t>
        </is>
      </c>
    </row>
    <row r="8" ht="30" customHeight="1">
      <c r="A8" s="34" t="n">
        <v>5</v>
      </c>
      <c r="B8" s="7" t="inlineStr">
        <is>
          <t>Semua nilai SetParameterValues dikirim sebagai xsd:string.</t>
        </is>
      </c>
      <c r="C8" s="7" t="inlineStr">
        <is>
          <t>Firmware ketat bisa menolak boolean/angka dengan Fault 9006/9007.</t>
        </is>
      </c>
      <c r="D8" s="7" t="inlineStr">
        <is>
          <t>Catat parameter+model+firmware (WR-05); perbaikan = tipe per-parameter.</t>
        </is>
      </c>
    </row>
    <row r="9" ht="30" customHeight="1">
      <c r="A9" s="34" t="n">
        <v>6</v>
      </c>
      <c r="B9" s="7" t="inlineStr">
        <is>
          <t>Rate limiter CWMP 5 req/s per IP (in-memory).</t>
        </is>
      </c>
      <c r="C9" s="7" t="inlineStr">
        <is>
          <t>Beberapa CPE di balik satu IP (atau NAT Docker) bisa memicu 429.</t>
        </is>
      </c>
      <c r="D9" s="7" t="inlineStr">
        <is>
          <t>Nyalakan unit bergantian; jangan simpulkan gagal dari satu 429.</t>
        </is>
      </c>
    </row>
    <row r="10" ht="30" customHeight="1">
      <c r="A10" s="34" t="n">
        <v>7</v>
      </c>
      <c r="B10" s="7" t="inlineStr">
        <is>
          <t>Fallback UDP/STUN (TR-111) belum teruji pada CGNAT nyata.</t>
        </is>
      </c>
      <c r="C10" s="7" t="inlineStr">
        <is>
          <t>CR gagal untuk ONT di balik NAT berlapis.</t>
        </is>
      </c>
      <c r="D10" s="7" t="inlineStr">
        <is>
          <t>Catat; bukan bug otomatis.</t>
        </is>
      </c>
    </row>
    <row r="11" ht="30" customHeight="1">
      <c r="A11" s="34" t="n">
        <v>8</v>
      </c>
      <c r="B11" s="7" t="inlineStr">
        <is>
          <t>Sesi CWMP tanpa POST-kosong penutup menjadi TIMEOUT setelah 15 menit.</t>
        </is>
      </c>
      <c r="C11" s="7" t="inlineStr">
        <is>
          <t>Banyak sesi TIMEOUT di daftar sesi.</t>
        </is>
      </c>
      <c r="D11" s="7" t="inlineStr">
        <is>
          <t>Normal.</t>
        </is>
      </c>
    </row>
    <row r="12" ht="30" customHeight="1">
      <c r="A12" s="34" t="n">
        <v>9</v>
      </c>
      <c r="B12" s="7" t="inlineStr">
        <is>
          <t>ONT tanpa dukungan cookie sesi (acs_session) tidak menerima task.</t>
        </is>
      </c>
      <c r="C12" s="7" t="inlineStr">
        <is>
          <t>Inform sukses tapi task tak pernah terkirim, sesi langsung 204.</t>
        </is>
      </c>
      <c r="D12" s="7" t="inlineStr">
        <is>
          <t>Cek apakah ONT mengirim header Cookie pada POST kedua.</t>
        </is>
      </c>
    </row>
    <row r="13" ht="30" customHeight="1">
      <c r="A13" s="34" t="n">
        <v>10</v>
      </c>
      <c r="B13" s="7" t="inlineStr">
        <is>
          <t>Preset 'enforce' &amp; ZTP EVERY_INFORM mengantre Set otomatis tiap Inform.</t>
        </is>
      </c>
      <c r="C13" s="7" t="inlineStr">
        <is>
          <t>Task muncul sendiri bila preset ada.</t>
        </is>
      </c>
      <c r="D13" s="7" t="inlineStr">
        <is>
          <t>Di tenant UAT bersih tidak ada preset; jangan buat preset enforce saat uji.</t>
        </is>
      </c>
    </row>
    <row r="14" ht="30" customHeight="1">
      <c r="A14" s="34" t="n">
        <v>11</v>
      </c>
      <c r="B14" s="7" t="inlineStr">
        <is>
          <t>Kolom 'model' kosong sampai product_class didaftarkan persis.</t>
        </is>
      </c>
      <c r="C14" s="7" t="inlineStr">
        <is>
          <t>Device terdeteksi vendor-nya tapi model kosong.</t>
        </is>
      </c>
      <c r="D14" s="7" t="inlineStr">
        <is>
          <t>Daftarkan model di Catalog setelah Inform pertama menunjukkan ProductClass.</t>
        </is>
      </c>
    </row>
    <row r="15" ht="30" customHeight="1">
      <c r="A15" s="34" t="n">
        <v>12</v>
      </c>
      <c r="B15" s="7" t="inlineStr">
        <is>
          <t>Firmware upgrade ke perangkat fisik BELUM pernah diuji.</t>
        </is>
      </c>
      <c r="C15" s="7" t="inlineStr">
        <is>
          <t>Risiko brick.</t>
        </is>
      </c>
      <c r="D15" s="7" t="inlineStr">
        <is>
          <t>JANGAN diuji hari ini.</t>
        </is>
      </c>
    </row>
    <row r="16" ht="43" customHeight="1">
      <c r="A16" s="34" t="n">
        <v>13</v>
      </c>
      <c r="B16" s="7" t="inlineStr">
        <is>
          <t>ONT ini masih dikelola ACS produksi Telkom (acs.telkom.net:9090).</t>
        </is>
      </c>
      <c r="C16" s="7" t="inlineStr">
        <is>
          <t>Mengarahkan ke ACS kita memutusnya dari ACS Telkom; ACS Telkom bisa menimpa balik setelan (mis. ACS URL) bila ONT masih terjangkau olehnya.</t>
        </is>
      </c>
      <c r="D16" s="7" t="inlineStr">
        <is>
          <t>Rollback wajib (RST-01); ketahui password aslinya; jangan pada unit pelanggan aktif.</t>
        </is>
      </c>
    </row>
    <row r="17" ht="17" customHeight="1">
      <c r="A17" s="34" t="n">
        <v>14</v>
      </c>
      <c r="B17" s="7" t="inlineStr">
        <is>
          <t>Billing/Xendit mati (bawaan), self-signup mati.</t>
        </is>
      </c>
      <c r="C17" s="7" t="inlineStr">
        <is>
          <t>Menu/endpoint billing menjawab 409/404.</t>
        </is>
      </c>
      <c r="D17" s="7" t="inlineStr">
        <is>
          <t>Di luar lingkup UAT ONT.</t>
        </is>
      </c>
    </row>
    <row r="19">
      <c r="B19" s="3" t="inlineStr">
        <is>
          <t>JANGAN diuji pada ONT yang melayani Internet / produksi:</t>
        </is>
      </c>
    </row>
    <row r="20">
      <c r="B20" s="26" t="inlineStr">
        <is>
          <t>• Factory Reset</t>
        </is>
      </c>
    </row>
    <row r="21">
      <c r="B21" s="26" t="inlineStr">
        <is>
          <t>• Firmware upgrade / Download</t>
        </is>
      </c>
    </row>
    <row r="22">
      <c r="B22" s="26" t="inlineStr">
        <is>
          <t>• Push kredensial PPPoE pelanggan asli</t>
        </is>
      </c>
    </row>
    <row r="23">
      <c r="B23" s="26" t="inlineStr">
        <is>
          <t>• Aksi massal ke banyak device sekaligus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6" customWidth="1" min="1" max="1"/>
    <col width="52" customWidth="1" min="2" max="2"/>
    <col width="66" customWidth="1" min="3" max="3"/>
  </cols>
  <sheetData>
    <row r="1">
      <c r="A1" s="1" t="inlineStr">
        <is>
          <t>Gejala di Lapangan → Penyebab → Tindakan (urut dari yang paling cepat dicek)</t>
        </is>
      </c>
    </row>
    <row r="3" ht="30" customHeight="1">
      <c r="A3" s="12" t="inlineStr">
        <is>
          <t>Gejala</t>
        </is>
      </c>
      <c r="B3" s="12" t="inlineStr">
        <is>
          <t>Kemungkinan penyebab</t>
        </is>
      </c>
      <c r="C3" s="12" t="inlineStr">
        <is>
          <t>Cek / tindakan</t>
        </is>
      </c>
    </row>
    <row r="4" ht="43" customHeight="1">
      <c r="A4" s="7" t="inlineStr">
        <is>
          <t>ONT tidak pernah muncul di Devices; tidak ada Inform di log</t>
        </is>
      </c>
      <c r="B4" s="7" t="inlineStr">
        <is>
          <t>Jalur jaringan / ACS URL salah; firewall; VPN; IP laptop berubah</t>
        </is>
      </c>
      <c r="C4" s="7" t="inlineStr">
        <is>
          <t>Ulangi PRE-09 dari segmen ONT; cek ACS URL (http, IP, port 17547, path /cwmp); ipconfig; reboot ONT untuk memicu 1 BOOT; docker logs acs-acsd-1 --since 10m</t>
        </is>
      </c>
    </row>
    <row r="5" ht="30" customHeight="1">
      <c r="A5" s="7" t="inlineStr">
        <is>
          <t>Log ONT: HTTP 401</t>
        </is>
      </c>
      <c r="B5" s="7" t="inlineStr">
        <is>
          <t>Username/password di ONT ≠ kredensial CWMP tenant</t>
        </is>
      </c>
      <c r="C5" s="7" t="inlineStr">
        <is>
          <t>Samakan dengan 'Kredensial CWMP' tenant UAT; periksa spasi/karakter khusus</t>
        </is>
      </c>
    </row>
    <row r="6" ht="17" customHeight="1">
      <c r="A6" s="7" t="inlineStr">
        <is>
          <t>Log ONT: HTTP 429 / kadang berhasil kadang tidak</t>
        </is>
      </c>
      <c r="B6" s="7" t="inlineStr">
        <is>
          <t>Rate limiter 5 req/s per IP</t>
        </is>
      </c>
      <c r="C6" s="7" t="inlineStr">
        <is>
          <t>Nyalakan bergantian; tunggu retry; bukan bug baru</t>
        </is>
      </c>
    </row>
    <row r="7" ht="17" customHeight="1">
      <c r="A7" s="7" t="inlineStr">
        <is>
          <t>ONT mengeluh sertifikat / butuh https</t>
        </is>
      </c>
      <c r="B7" s="7" t="inlineStr">
        <is>
          <t>ACS hanya HTTP</t>
        </is>
      </c>
      <c r="C7" s="7" t="inlineStr">
        <is>
          <t>Butuh TLS terminator (docker-compose.tls.yml); tanya tim network</t>
        </is>
      </c>
    </row>
    <row r="8" ht="17" customHeight="1">
      <c r="A8" s="7" t="inlineStr">
        <is>
          <t>Device muncul, vendor 'belum diketahui'</t>
        </is>
      </c>
      <c r="B8" s="7" t="inlineStr">
        <is>
          <t>OUI belum di katalog / OUI DeviceId ≠ OUI MAC</t>
        </is>
      </c>
      <c r="C8" s="7" t="inlineStr">
        <is>
          <t>Tambah OUI lewat Catalog Vendor → Inform berikutnya sembuh otomatis</t>
        </is>
      </c>
    </row>
    <row r="9" ht="17" customHeight="1">
      <c r="A9" s="7" t="inlineStr">
        <is>
          <t>Vendor benar tetapi model kosong</t>
        </is>
      </c>
      <c r="B9" s="7" t="inlineStr">
        <is>
          <t>Belum ada device_models dengan product_class persis</t>
        </is>
      </c>
      <c r="C9" s="7" t="inlineStr">
        <is>
          <t>Lihat ProductClass di Device Detail → daftarkan model</t>
        </is>
      </c>
    </row>
    <row r="10" ht="30" customHeight="1">
      <c r="A10" s="7" t="inlineStr">
        <is>
          <t>Task COMPLETED tetapi nilai di ONT tak berubah</t>
        </is>
      </c>
      <c r="B10" s="7" t="inlineStr">
        <is>
          <t>ONT hanya ACK; butuh reboot/apply; atau path mapping salah</t>
        </is>
      </c>
      <c r="C10" s="7" t="inlineStr">
        <is>
          <t>Cek dari sisi ONT (WR-01); catat path &amp; firmware</t>
        </is>
      </c>
    </row>
    <row r="11" ht="17" customHeight="1">
      <c r="A11" s="7" t="inlineStr">
        <is>
          <t>Task FAILED Fault 9005</t>
        </is>
      </c>
      <c r="B11" s="7" t="inlineStr">
        <is>
          <t>Path tidak ada di firmware itu</t>
        </is>
      </c>
      <c r="C11" s="7" t="inlineStr">
        <is>
          <t>Catat model+firmware; tambah mapping per device_model_id</t>
        </is>
      </c>
    </row>
    <row r="12" ht="17" customHeight="1">
      <c r="A12" s="7" t="inlineStr">
        <is>
          <t>Task FAILED Fault 9006/9007</t>
        </is>
      </c>
      <c r="B12" s="7" t="inlineStr">
        <is>
          <t>Tipe/nilai tidak valid (ACS kirim xsd:string)</t>
        </is>
      </c>
      <c r="C12" s="7" t="inlineStr">
        <is>
          <t>Catat parameter; butuh tipe per-parameter</t>
        </is>
      </c>
    </row>
    <row r="13" ht="30" customHeight="1">
      <c r="A13" s="7" t="inlineStr">
        <is>
          <t>Connection Request gagal</t>
        </is>
      </c>
      <c r="B13" s="7" t="inlineStr">
        <is>
          <t>ONT di NAT/CGNAT; firewall blok port balik; CR URL tak tersimpan (Docker NAT); kredensial CR salah</t>
        </is>
      </c>
      <c r="C13" s="7" t="inlineStr">
        <is>
          <t>INF-08 → CR-01/CR-05; PRE-11; log ONT; coba curl -i ke ConnectionRequestURL untuk melihat WWW-Authenticate</t>
        </is>
      </c>
    </row>
    <row r="14" ht="30" customHeight="1">
      <c r="A14" s="7" t="inlineStr">
        <is>
          <t>UI: 'device menolak connection request'</t>
        </is>
      </c>
      <c r="B14" s="7" t="inlineStr">
        <is>
          <t>ONT membalas 401 (username/password CR kosong atau salah)</t>
        </is>
      </c>
      <c r="C14" s="7" t="inlineStr">
        <is>
          <t>Isi connection_request_username/password sesuai ONT (CR-01)</t>
        </is>
      </c>
    </row>
    <row r="15" ht="30" customHeight="1">
      <c r="A15" s="7" t="inlineStr">
        <is>
          <t>Inform masuk tetapi task/RPC tak pernah terkirim; sesi langsung 204</t>
        </is>
      </c>
      <c r="B15" s="7" t="inlineStr">
        <is>
          <t>ONT tidak mengirim balik cookie sesi acs_session</t>
        </is>
      </c>
      <c r="C15" s="7" t="inlineStr">
        <is>
          <t>Cek capture: header Cookie pada POST kedua</t>
        </is>
      </c>
    </row>
    <row r="16" ht="30" customHeight="1">
      <c r="A16" s="7" t="inlineStr">
        <is>
          <t>Inform ditolak 400</t>
        </is>
      </c>
      <c r="B16" s="7" t="inlineStr">
        <is>
          <t>XML tak bisa di-parse (SOAP 1.2 / encoding)</t>
        </is>
      </c>
      <c r="C16" s="7" t="inlineStr">
        <is>
          <t>Ambil body Inform dari capture. ISO-8859-1/windows-1252 &amp; BOM ditoleransi; SOAP 1.2 tidak</t>
        </is>
      </c>
    </row>
    <row r="17" ht="17" customHeight="1">
      <c r="A17" s="7" t="inlineStr">
        <is>
          <t>Banyak sesi TIMEOUT</t>
        </is>
      </c>
      <c r="B17" s="7" t="inlineStr">
        <is>
          <t>Reaper menutup sesi tanpa POST-kosong setelah 15 menit</t>
        </is>
      </c>
      <c r="C17" s="7" t="inlineStr">
        <is>
          <t>Normal</t>
        </is>
      </c>
    </row>
    <row r="18" ht="30" customHeight="1">
      <c r="A18" s="7" t="inlineStr">
        <is>
          <t>Console tidak bisa dibuka di :5173</t>
        </is>
      </c>
      <c r="B18" s="7" t="inlineStr">
        <is>
          <t>Vite dev server mati (terminal ditutup / laptop restart)</t>
        </is>
      </c>
      <c r="C18" s="7" t="inlineStr">
        <is>
          <t>cd frontend; npm run dev</t>
        </is>
      </c>
    </row>
    <row r="19" ht="30" customHeight="1">
      <c r="A19" s="7" t="inlineStr">
        <is>
          <t>Console tidak bisa login / semua 'gagal memuat'</t>
        </is>
      </c>
      <c r="B19" s="7" t="inlineStr">
        <is>
          <t>acsd mati atau CORS (Console dibuka dari komputer lain)</t>
        </is>
      </c>
      <c r="C19" s="7" t="inlineStr">
        <is>
          <t>docker compose ps; curl localhost:18080/readyz; set ACS_CORS_ALLOW_ORIGINS bila dari host lain</t>
        </is>
      </c>
    </row>
    <row r="20" ht="17" customHeight="1">
      <c r="A20" s="7" t="inlineStr">
        <is>
          <t>Docker: 'cannot connect to daemon'</t>
        </is>
      </c>
      <c r="B20" s="7" t="inlineStr">
        <is>
          <t>Docker Desktop belum nyala</t>
        </is>
      </c>
      <c r="C20" s="7" t="inlineStr">
        <is>
          <t>Buka Docker Desktop, tunggu ±1 menit; container restart sendiri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2026-10-21T02:37:01Z</dcterms:created>
  <dcterms:modified xsi:type="dcterms:W3CDTF">2026-10-21T02:37:01Z</dcterms:modified>
</cp:coreProperties>
</file>